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Hp_PC\Desktop\"/>
    </mc:Choice>
  </mc:AlternateContent>
  <xr:revisionPtr revIDLastSave="0" documentId="13_ncr:1_{7826BFCD-1B72-4451-AC99-7EB545A7E078}" xr6:coauthVersionLast="47" xr6:coauthVersionMax="47" xr10:uidLastSave="{00000000-0000-0000-0000-000000000000}"/>
  <bookViews>
    <workbookView xWindow="-108" yWindow="-108" windowWidth="23256" windowHeight="12720" xr2:uid="{00000000-000D-0000-FFFF-FFFF00000000}"/>
  </bookViews>
  <sheets>
    <sheet name="Dashboard" sheetId="2" r:id="rId1"/>
    <sheet name="Maintenanciers_list" sheetId="5" r:id="rId2"/>
    <sheet name="Maintenancier" sheetId="3" r:id="rId3"/>
    <sheet name="Plan_list" sheetId="8" r:id="rId4"/>
    <sheet name="Plan" sheetId="9" r:id="rId5"/>
    <sheet name="Tasks List" sheetId="11" r:id="rId6"/>
    <sheet name="Sheet3" sheetId="4" r:id="rId7"/>
  </sheets>
  <definedNames>
    <definedName name="THURSDAY">#REF!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 i="8" l="1"/>
  <c r="J6" i="8"/>
  <c r="J7" i="8"/>
  <c r="J8" i="8"/>
  <c r="J9" i="8"/>
  <c r="A5" i="2"/>
  <c r="Z6" i="5"/>
  <c r="Z7" i="5"/>
  <c r="AK6" i="11"/>
  <c r="AK5" i="11"/>
  <c r="AB8" i="8"/>
  <c r="AB7" i="8"/>
  <c r="E4" i="4"/>
  <c r="E3" i="4"/>
  <c r="I6" i="5"/>
  <c r="I7" i="5"/>
</calcChain>
</file>

<file path=xl/sharedStrings.xml><?xml version="1.0" encoding="utf-8"?>
<sst xmlns="http://schemas.openxmlformats.org/spreadsheetml/2006/main" count="159" uniqueCount="67">
  <si>
    <t>PM.4</t>
  </si>
  <si>
    <t>PM.5</t>
  </si>
  <si>
    <t>Nom</t>
  </si>
  <si>
    <t>Prénom</t>
  </si>
  <si>
    <t xml:space="preserve">CIN </t>
  </si>
  <si>
    <t>Téléphone</t>
  </si>
  <si>
    <t>Specialité</t>
  </si>
  <si>
    <t>IBRAHIM</t>
  </si>
  <si>
    <t>ESSAKINE</t>
  </si>
  <si>
    <t>Mecanique</t>
  </si>
  <si>
    <r>
      <rPr>
        <b/>
        <sz val="12"/>
        <rFont val="Montserrat"/>
      </rPr>
      <t>Nouvelle</t>
    </r>
    <r>
      <rPr>
        <sz val="11"/>
        <rFont val="Montserrat"/>
      </rPr>
      <t xml:space="preserve"> </t>
    </r>
    <r>
      <rPr>
        <b/>
        <sz val="11"/>
        <color rgb="FFE7223A"/>
        <rFont val="Montserrat"/>
      </rPr>
      <t>Maintenancier</t>
    </r>
  </si>
  <si>
    <t>CIN</t>
  </si>
  <si>
    <t>Genre</t>
  </si>
  <si>
    <t>Spicialité</t>
  </si>
  <si>
    <t>Availibilité</t>
  </si>
  <si>
    <t>jk45457</t>
  </si>
  <si>
    <t>061515121233</t>
  </si>
  <si>
    <t>Electric</t>
  </si>
  <si>
    <r>
      <rPr>
        <b/>
        <sz val="12"/>
        <rFont val="Montserrat"/>
      </rPr>
      <t>Nouvelle</t>
    </r>
    <r>
      <rPr>
        <sz val="11"/>
        <rFont val="Montserrat"/>
      </rPr>
      <t xml:space="preserve"> </t>
    </r>
    <r>
      <rPr>
        <b/>
        <sz val="11"/>
        <color rgb="FFE7223A"/>
        <rFont val="Montserrat"/>
      </rPr>
      <t>Plan</t>
    </r>
  </si>
  <si>
    <t>Veuiller saisir les détaille du mantenancier</t>
  </si>
  <si>
    <t>Description</t>
  </si>
  <si>
    <t>Etiquette</t>
  </si>
  <si>
    <t>Plan</t>
  </si>
  <si>
    <t>Line</t>
  </si>
  <si>
    <t>Veuiller saisir les détaille du plan de maintenance</t>
  </si>
  <si>
    <t>Type</t>
  </si>
  <si>
    <t>Fréquence</t>
  </si>
  <si>
    <t/>
  </si>
  <si>
    <t>Changement des filtres</t>
  </si>
  <si>
    <t>PET1</t>
  </si>
  <si>
    <t>Maintenancier</t>
  </si>
  <si>
    <t>P.M</t>
  </si>
  <si>
    <t>Date</t>
  </si>
  <si>
    <t>Ibrahim ESSAKINE</t>
  </si>
  <si>
    <t>PET4</t>
  </si>
  <si>
    <t>Nom complet</t>
  </si>
  <si>
    <t>jk45459</t>
  </si>
  <si>
    <t>0630600</t>
  </si>
  <si>
    <t>JK44444</t>
  </si>
  <si>
    <t>Homme</t>
  </si>
  <si>
    <t>PM.77</t>
  </si>
  <si>
    <t>Plannifier</t>
  </si>
  <si>
    <t>Fait</t>
  </si>
  <si>
    <t>06121245457</t>
  </si>
  <si>
    <t>PM.66</t>
  </si>
  <si>
    <t>ABDALLAH</t>
  </si>
  <si>
    <t>Trimestriel</t>
  </si>
  <si>
    <t>Hebdomadaire</t>
  </si>
  <si>
    <t>Mensuel</t>
  </si>
  <si>
    <t>MED Drafi</t>
  </si>
  <si>
    <t>Tache</t>
  </si>
  <si>
    <t>Inavailible</t>
  </si>
  <si>
    <t>Changement des filters</t>
  </si>
  <si>
    <t>Ligne</t>
  </si>
  <si>
    <t>occurrence</t>
  </si>
  <si>
    <t>List des taches</t>
  </si>
  <si>
    <t xml:space="preserve">List des Maintenanciers </t>
  </si>
  <si>
    <t>List des Plans</t>
  </si>
  <si>
    <t>PM.78</t>
  </si>
  <si>
    <t>ABDALLAH HACHM</t>
  </si>
  <si>
    <t>0605557838</t>
  </si>
  <si>
    <t>N° :</t>
  </si>
  <si>
    <t>Réalisé par :</t>
  </si>
  <si>
    <t>Version 1.0</t>
  </si>
  <si>
    <t>ibrahimessakine@gmail.com</t>
  </si>
  <si>
    <t>HACHMT</t>
  </si>
  <si>
    <t>ABDALLAH HACHMT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</si>
</sst>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 d\ mmm\ yy"/>
    <numFmt numFmtId="165" formatCode="dd\ mmm\ yy"/>
    <numFmt numFmtId="166" formatCode="d\ mmm\ yy"/>
  </numFmts>
  <fonts count="17" x14ac:knownFonts="1">
    <font>
      <sz val="11"/>
      <color theme="1"/>
      <name val="Calibri"/>
      <family val="2"/>
      <scheme val="minor"/>
    </font>
    <font>
      <sz val="8"/>
      <name val="Calibri"/>
      <family val="2"/>
      <scheme val="minor"/>
    </font>
    <font>
      <sz val="11"/>
      <name val="Calibri"/>
      <family val="2"/>
      <scheme val="minor"/>
    </font>
    <font>
      <b/>
      <sz val="12"/>
      <name val="Montserrat"/>
    </font>
    <font>
      <sz val="11"/>
      <name val="Montserrat"/>
    </font>
    <font>
      <b/>
      <sz val="11"/>
      <color rgb="FFE7223A"/>
      <name val="Montserrat"/>
    </font>
    <font>
      <sz val="14"/>
      <color rgb="FFE7223A"/>
      <name val="Montserrat"/>
    </font>
    <font>
      <sz val="10"/>
      <name val="Montserrat SemiBold"/>
    </font>
    <font>
      <b/>
      <sz val="14"/>
      <color rgb="FFE7223A"/>
      <name val="Montserrat"/>
    </font>
    <font>
      <sz val="20"/>
      <name val="Montserrat"/>
    </font>
    <font>
      <b/>
      <sz val="9"/>
      <color rgb="FFE7223A"/>
      <name val="Montserrat"/>
    </font>
    <font>
      <b/>
      <sz val="20"/>
      <color rgb="FFC00000"/>
      <name val="Montserrat"/>
    </font>
    <font>
      <sz val="12"/>
      <color theme="0"/>
      <name val="Montserrat ExtraBold"/>
    </font>
    <font>
      <b/>
      <sz val="11"/>
      <color theme="1"/>
      <name val="Montserrat SemiBold"/>
    </font>
    <font>
      <sz val="14"/>
      <color theme="0"/>
      <name val="Bahnschrift"/>
      <family val="2"/>
    </font>
    <font>
      <sz val="11"/>
      <color theme="1"/>
      <name val="Montserrat ExtraBold"/>
    </font>
    <font>
      <sz val="11"/>
      <color rgb="FFFFFF00"/>
      <name val="Montserrat ExtraBold"/>
    </font>
  </fonts>
  <fills count="16">
    <fill>
      <patternFill patternType="none"/>
    </fill>
    <fill>
      <patternFill patternType="gray125"/>
    </fill>
    <fill>
      <patternFill patternType="solid">
        <fgColor theme="0"/>
        <bgColor indexed="64"/>
      </patternFill>
    </fill>
    <fill>
      <patternFill patternType="solid">
        <fgColor rgb="FFE7223A"/>
        <bgColor indexed="64"/>
      </patternFill>
    </fill>
    <fill>
      <patternFill patternType="solid">
        <fgColor theme="0" tint="-4.9989318521683403E-2"/>
        <bgColor indexed="64"/>
      </patternFill>
    </fill>
    <fill>
      <patternFill patternType="solid">
        <fgColor rgb="FFFDE9EB"/>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1"/>
        <bgColor indexed="64"/>
      </patternFill>
    </fill>
    <fill>
      <patternFill patternType="solid">
        <fgColor theme="5" tint="0.79998168889431442"/>
        <bgColor theme="5" tint="0.79998168889431442"/>
      </patternFill>
    </fill>
    <fill>
      <patternFill patternType="solid">
        <fgColor theme="5" tint="0.39997558519241921"/>
        <bgColor indexed="64"/>
      </patternFill>
    </fill>
    <fill>
      <patternFill patternType="solid">
        <fgColor theme="7" tint="0.39994506668294322"/>
        <bgColor indexed="64"/>
      </patternFill>
    </fill>
    <fill>
      <patternFill patternType="solid">
        <fgColor rgb="FFEA3E52"/>
        <bgColor indexed="64"/>
      </patternFill>
    </fill>
    <fill>
      <patternFill patternType="solid">
        <fgColor rgb="FFEF6B7B"/>
        <bgColor indexed="64"/>
      </patternFill>
    </fill>
    <fill>
      <patternFill patternType="solid">
        <fgColor rgb="FFF49EA8"/>
        <bgColor indexed="64"/>
      </patternFill>
    </fill>
    <fill>
      <patternFill patternType="solid">
        <fgColor theme="9" tint="0.39994506668294322"/>
        <bgColor indexed="64"/>
      </patternFill>
    </fill>
  </fills>
  <borders count="16">
    <border>
      <left/>
      <right/>
      <top/>
      <bottom/>
      <diagonal/>
    </border>
    <border>
      <left style="medium">
        <color indexed="64"/>
      </left>
      <right style="thick">
        <color indexed="64"/>
      </right>
      <top style="medium">
        <color indexed="64"/>
      </top>
      <bottom/>
      <diagonal/>
    </border>
    <border>
      <left style="thick">
        <color indexed="64"/>
      </left>
      <right style="thick">
        <color indexed="64"/>
      </right>
      <top style="thick">
        <color indexed="64"/>
      </top>
      <bottom style="thick">
        <color indexed="64"/>
      </bottom>
      <diagonal/>
    </border>
    <border>
      <left/>
      <right/>
      <top/>
      <bottom style="thin">
        <color theme="5"/>
      </bottom>
      <diagonal/>
    </border>
    <border>
      <left style="thin">
        <color indexed="64"/>
      </left>
      <right style="medium">
        <color indexed="64"/>
      </right>
      <top style="medium">
        <color indexed="64"/>
      </top>
      <bottom/>
      <diagonal/>
    </border>
    <border>
      <left style="thin">
        <color indexed="64"/>
      </left>
      <right style="medium">
        <color indexed="64"/>
      </right>
      <top style="mediumDashed">
        <color indexed="64"/>
      </top>
      <bottom style="medium">
        <color indexed="64"/>
      </bottom>
      <diagonal/>
    </border>
    <border>
      <left style="thin">
        <color indexed="64"/>
      </left>
      <right style="medium">
        <color indexed="64"/>
      </right>
      <top style="mediumDashed">
        <color indexed="64"/>
      </top>
      <bottom/>
      <diagonal/>
    </border>
    <border>
      <left/>
      <right style="thin">
        <color indexed="64"/>
      </right>
      <top style="medium">
        <color indexed="64"/>
      </top>
      <bottom/>
      <diagonal/>
    </border>
    <border>
      <left/>
      <right style="thin">
        <color indexed="64"/>
      </right>
      <top style="mediumDashed">
        <color indexed="64"/>
      </top>
      <bottom/>
      <diagonal/>
    </border>
    <border>
      <left/>
      <right style="thin">
        <color indexed="64"/>
      </right>
      <top style="mediumDashed">
        <color indexed="64"/>
      </top>
      <bottom style="medium">
        <color indexed="64"/>
      </bottom>
      <diagonal/>
    </border>
    <border>
      <left style="medium">
        <color indexed="64"/>
      </left>
      <right style="mediumDashDotDot">
        <color indexed="64"/>
      </right>
      <top style="medium">
        <color indexed="64"/>
      </top>
      <bottom/>
      <diagonal/>
    </border>
    <border>
      <left style="medium">
        <color indexed="64"/>
      </left>
      <right style="mediumDashDotDot">
        <color indexed="64"/>
      </right>
      <top style="mediumDashed">
        <color indexed="64"/>
      </top>
      <bottom/>
      <diagonal/>
    </border>
    <border>
      <left style="medium">
        <color indexed="64"/>
      </left>
      <right style="mediumDashDotDot">
        <color indexed="64"/>
      </right>
      <top style="mediumDashed">
        <color indexed="64"/>
      </top>
      <bottom style="medium">
        <color indexed="64"/>
      </bottom>
      <diagonal/>
    </border>
    <border>
      <left style="medium">
        <color indexed="64"/>
      </left>
      <right/>
      <top style="medium">
        <color indexed="64"/>
      </top>
      <bottom style="medium">
        <color indexed="64"/>
      </bottom>
      <diagonal/>
    </border>
    <border>
      <left/>
      <right style="mediumDashDotDot">
        <color indexed="64"/>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62">
    <xf numFmtId="0" fontId="0" fillId="0" borderId="0" xfId="0"/>
    <xf numFmtId="0" fontId="0" fillId="2" borderId="0" xfId="0" applyFill="1"/>
    <xf numFmtId="0" fontId="0" fillId="3" borderId="0" xfId="0" applyFill="1"/>
    <xf numFmtId="0" fontId="2" fillId="2" borderId="0" xfId="0" applyFont="1" applyFill="1"/>
    <xf numFmtId="0" fontId="0" fillId="5" borderId="0" xfId="0" applyFill="1"/>
    <xf numFmtId="0" fontId="4" fillId="2" borderId="0" xfId="0" applyFont="1" applyFill="1"/>
    <xf numFmtId="0" fontId="6" fillId="2" borderId="0" xfId="0" applyFont="1" applyFill="1" applyAlignment="1">
      <alignment horizontal="center" vertical="center"/>
    </xf>
    <xf numFmtId="0" fontId="6" fillId="5" borderId="0" xfId="0" applyFont="1" applyFill="1" applyAlignment="1">
      <alignment horizontal="center" vertical="center"/>
    </xf>
    <xf numFmtId="0" fontId="7" fillId="2" borderId="0" xfId="0" applyFont="1" applyFill="1"/>
    <xf numFmtId="0" fontId="8" fillId="4" borderId="0" xfId="0" applyFont="1" applyFill="1" applyAlignment="1">
      <alignment horizontal="left" vertical="center"/>
    </xf>
    <xf numFmtId="0" fontId="6" fillId="0" borderId="0" xfId="0" applyFont="1" applyFill="1" applyAlignment="1">
      <alignment horizontal="center" vertical="center"/>
    </xf>
    <xf numFmtId="49" fontId="0" fillId="3" borderId="0" xfId="0" applyNumberFormat="1" applyFill="1"/>
    <xf numFmtId="49" fontId="6" fillId="0" borderId="0" xfId="0" applyNumberFormat="1" applyFont="1" applyFill="1" applyAlignment="1">
      <alignment horizontal="center" vertical="center"/>
    </xf>
    <xf numFmtId="49" fontId="0" fillId="5" borderId="0" xfId="0" applyNumberFormat="1" applyFill="1"/>
    <xf numFmtId="49" fontId="0" fillId="2" borderId="0" xfId="0" applyNumberFormat="1" applyFill="1"/>
    <xf numFmtId="166" fontId="6" fillId="0" borderId="0" xfId="0" applyNumberFormat="1" applyFont="1" applyFill="1" applyAlignment="1">
      <alignment horizontal="center" vertical="center"/>
    </xf>
    <xf numFmtId="1" fontId="6" fillId="0" borderId="0" xfId="0" applyNumberFormat="1" applyFont="1" applyFill="1" applyAlignment="1">
      <alignment horizontal="center" vertical="center"/>
    </xf>
    <xf numFmtId="166" fontId="0" fillId="3" borderId="0" xfId="0" applyNumberFormat="1" applyFill="1"/>
    <xf numFmtId="166" fontId="0" fillId="2" borderId="0" xfId="0" applyNumberFormat="1" applyFill="1"/>
    <xf numFmtId="0" fontId="0" fillId="6" borderId="0" xfId="0" applyFill="1" applyAlignment="1"/>
    <xf numFmtId="164" fontId="12" fillId="7" borderId="0" xfId="0" applyNumberFormat="1" applyFont="1" applyFill="1" applyAlignment="1">
      <alignment horizontal="center" vertical="center"/>
    </xf>
    <xf numFmtId="0" fontId="14" fillId="8" borderId="0" xfId="0" applyFont="1" applyFill="1" applyAlignment="1">
      <alignment horizontal="center" vertical="center"/>
    </xf>
    <xf numFmtId="0" fontId="6" fillId="9" borderId="0" xfId="0" applyFont="1" applyFill="1" applyAlignment="1">
      <alignment horizontal="center" vertical="center"/>
    </xf>
    <xf numFmtId="0" fontId="6" fillId="0" borderId="0" xfId="0" applyFont="1" applyAlignment="1">
      <alignment horizontal="center" vertical="center"/>
    </xf>
    <xf numFmtId="49" fontId="6" fillId="9" borderId="0" xfId="0" applyNumberFormat="1" applyFont="1" applyFill="1" applyAlignment="1">
      <alignment horizontal="center" vertical="center"/>
    </xf>
    <xf numFmtId="49" fontId="6" fillId="0" borderId="0" xfId="0" applyNumberFormat="1" applyFont="1" applyAlignment="1">
      <alignment horizontal="center" vertical="center"/>
    </xf>
    <xf numFmtId="49" fontId="6" fillId="9" borderId="3" xfId="0" applyNumberFormat="1" applyFont="1" applyFill="1" applyBorder="1" applyAlignment="1">
      <alignment horizontal="center" vertical="center"/>
    </xf>
    <xf numFmtId="0" fontId="6" fillId="0" borderId="0" xfId="0" applyNumberFormat="1" applyFont="1" applyFill="1" applyAlignment="1">
      <alignment horizontal="center" vertical="center"/>
    </xf>
    <xf numFmtId="14" fontId="15" fillId="3" borderId="12" xfId="0" applyNumberFormat="1" applyFont="1" applyFill="1" applyBorder="1" applyAlignment="1">
      <alignment horizontal="center"/>
    </xf>
    <xf numFmtId="0" fontId="15" fillId="12" borderId="11" xfId="0" applyFont="1" applyFill="1" applyBorder="1" applyAlignment="1">
      <alignment horizontal="right" vertical="center"/>
    </xf>
    <xf numFmtId="0" fontId="15" fillId="13" borderId="10" xfId="0" applyFont="1" applyFill="1" applyBorder="1" applyAlignment="1">
      <alignment horizontal="right" vertical="center"/>
    </xf>
    <xf numFmtId="0" fontId="2" fillId="2" borderId="0" xfId="0" applyFont="1" applyFill="1" applyProtection="1"/>
    <xf numFmtId="0" fontId="8" fillId="4" borderId="0" xfId="0" applyFont="1" applyFill="1" applyAlignment="1" applyProtection="1">
      <alignment horizontal="left" vertical="center"/>
      <protection locked="0"/>
    </xf>
    <xf numFmtId="49" fontId="8" fillId="4" borderId="0" xfId="0" applyNumberFormat="1" applyFont="1" applyFill="1" applyAlignment="1" applyProtection="1">
      <alignment horizontal="left" vertical="center"/>
      <protection locked="0"/>
    </xf>
    <xf numFmtId="0" fontId="6" fillId="2" borderId="0" xfId="0" applyFont="1" applyFill="1" applyAlignment="1" applyProtection="1">
      <alignment horizontal="center" vertical="center"/>
    </xf>
    <xf numFmtId="0" fontId="0" fillId="2" borderId="0" xfId="0" applyFill="1" applyProtection="1">
      <protection locked="0"/>
    </xf>
    <xf numFmtId="0" fontId="0" fillId="0" borderId="0" xfId="0" applyFill="1" applyProtection="1">
      <protection locked="0"/>
    </xf>
    <xf numFmtId="0" fontId="0" fillId="2" borderId="0" xfId="0" applyFill="1" applyProtection="1"/>
    <xf numFmtId="0" fontId="0" fillId="0" borderId="0" xfId="0" applyFill="1" applyProtection="1"/>
    <xf numFmtId="0" fontId="0" fillId="2" borderId="0" xfId="0" applyFont="1" applyFill="1" applyProtection="1"/>
    <xf numFmtId="0" fontId="0" fillId="0" borderId="0" xfId="0" applyProtection="1">
      <protection locked="0"/>
    </xf>
    <xf numFmtId="0" fontId="0" fillId="0" borderId="0" xfId="0" applyProtection="1"/>
    <xf numFmtId="165" fontId="0" fillId="0" borderId="1" xfId="0" applyNumberFormat="1" applyFill="1" applyBorder="1" applyAlignment="1" applyProtection="1">
      <alignment horizontal="center" vertical="center" textRotation="90"/>
      <protection locked="0"/>
    </xf>
    <xf numFmtId="0" fontId="0" fillId="0" borderId="2" xfId="0" applyFill="1" applyBorder="1" applyProtection="1">
      <protection locked="0"/>
    </xf>
    <xf numFmtId="0" fontId="0" fillId="2" borderId="0" xfId="0" applyFill="1" applyBorder="1" applyProtection="1">
      <protection locked="0"/>
    </xf>
    <xf numFmtId="0" fontId="0" fillId="2" borderId="0" xfId="0" applyFill="1" applyBorder="1" applyProtection="1"/>
    <xf numFmtId="0" fontId="0" fillId="0" borderId="2" xfId="0" applyFill="1" applyBorder="1" applyProtection="1"/>
    <xf numFmtId="0" fontId="0" fillId="11" borderId="2" xfId="0" applyFill="1" applyBorder="1" applyProtection="1"/>
    <xf numFmtId="0" fontId="13" fillId="10" borderId="0" xfId="0" applyFont="1" applyFill="1" applyAlignment="1" applyProtection="1">
      <alignment horizontal="center" vertical="center"/>
      <protection locked="0"/>
    </xf>
    <xf numFmtId="0" fontId="15" fillId="12" borderId="8" xfId="0" applyFont="1" applyFill="1" applyBorder="1" applyAlignment="1">
      <alignment horizontal="center" vertical="center"/>
    </xf>
    <xf numFmtId="0" fontId="15" fillId="12" borderId="6" xfId="0" applyFont="1" applyFill="1" applyBorder="1" applyAlignment="1">
      <alignment horizontal="center" vertical="center"/>
    </xf>
    <xf numFmtId="49" fontId="16" fillId="13" borderId="7" xfId="0" applyNumberFormat="1" applyFont="1" applyFill="1" applyBorder="1" applyAlignment="1">
      <alignment horizontal="center" vertical="center"/>
    </xf>
    <xf numFmtId="49" fontId="16" fillId="13" borderId="4" xfId="0" applyNumberFormat="1" applyFont="1" applyFill="1" applyBorder="1" applyAlignment="1">
      <alignment horizontal="center" vertical="center"/>
    </xf>
    <xf numFmtId="0" fontId="15" fillId="3" borderId="9" xfId="0" applyFont="1" applyFill="1" applyBorder="1" applyAlignment="1">
      <alignment horizontal="center" vertical="center"/>
    </xf>
    <xf numFmtId="0" fontId="15" fillId="3" borderId="5" xfId="0" applyFont="1" applyFill="1" applyBorder="1" applyAlignment="1">
      <alignment horizontal="center" vertical="center"/>
    </xf>
    <xf numFmtId="0" fontId="15" fillId="14" borderId="13" xfId="0" applyFont="1" applyFill="1" applyBorder="1" applyAlignment="1">
      <alignment horizontal="center" vertical="center"/>
    </xf>
    <xf numFmtId="0" fontId="15" fillId="14" borderId="15" xfId="0" applyFont="1" applyFill="1" applyBorder="1" applyAlignment="1">
      <alignment horizontal="center" vertical="center"/>
    </xf>
    <xf numFmtId="0" fontId="15" fillId="14" borderId="14" xfId="0" applyFont="1" applyFill="1" applyBorder="1" applyAlignment="1">
      <alignment horizontal="center" vertical="center"/>
    </xf>
    <xf numFmtId="0" fontId="11" fillId="2" borderId="0" xfId="0" applyFont="1" applyFill="1" applyAlignment="1">
      <alignment horizontal="center" vertical="center"/>
    </xf>
    <xf numFmtId="0" fontId="9" fillId="2" borderId="0" xfId="0" applyFont="1" applyFill="1" applyAlignment="1">
      <alignment horizontal="center" vertical="center"/>
    </xf>
    <xf numFmtId="49" fontId="10" fillId="4" borderId="0" xfId="0" applyNumberFormat="1" applyFont="1" applyFill="1" applyAlignment="1" applyProtection="1">
      <alignment horizontal="center" vertical="center"/>
      <protection locked="0"/>
    </xf>
    <xf numFmtId="0" fontId="0" fillId="15" borderId="2" xfId="0" applyFill="1" applyBorder="1" applyProtection="1"/>
  </cellXfs>
  <cellStyles count="1">
    <cellStyle name="Normal" xfId="0" builtinId="0"/>
  </cellStyles>
  <dxfs count="45">
    <dxf>
      <font>
        <b val="0"/>
        <i val="0"/>
        <strike val="0"/>
        <condense val="0"/>
        <extend val="0"/>
        <outline val="0"/>
        <shadow val="0"/>
        <u val="none"/>
        <vertAlign val="baseline"/>
        <sz val="14"/>
        <color rgb="FFE7223A"/>
        <name val="Montserrat"/>
        <scheme val="none"/>
      </font>
      <fill>
        <patternFill patternType="solid">
          <fgColor rgb="FF000000"/>
          <bgColor rgb="FFFDE9EB"/>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rgb="FF000000"/>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numFmt numFmtId="166" formatCode="d\ mmm\ 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ill>
        <patternFill patternType="solid">
          <fgColor rgb="FF000000"/>
          <bgColor rgb="FFFDE9EB"/>
        </patternFill>
      </fill>
    </dxf>
    <dxf>
      <font>
        <b val="0"/>
        <i val="0"/>
        <strike val="0"/>
        <condense val="0"/>
        <extend val="0"/>
        <outline val="0"/>
        <shadow val="0"/>
        <u val="none"/>
        <vertAlign val="baseline"/>
        <sz val="14"/>
        <color rgb="FFE7223A"/>
        <name val="Montserrat"/>
        <scheme val="none"/>
      </font>
      <fill>
        <patternFill patternType="solid">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ill>
        <patternFill patternType="solid">
          <fgColor rgb="FF000000"/>
          <bgColor rgb="FFFDE9EB"/>
        </patternFill>
      </fill>
    </dxf>
    <dxf>
      <font>
        <b val="0"/>
        <i val="0"/>
        <strike val="0"/>
        <condense val="0"/>
        <extend val="0"/>
        <outline val="0"/>
        <shadow val="0"/>
        <u val="none"/>
        <vertAlign val="baseline"/>
        <sz val="14"/>
        <color rgb="FFE7223A"/>
        <name val="Montserrat"/>
        <scheme val="none"/>
      </font>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ont>
        <b val="0"/>
        <i val="0"/>
        <strike val="0"/>
        <condense val="0"/>
        <extend val="0"/>
        <outline val="0"/>
        <shadow val="0"/>
        <u val="none"/>
        <vertAlign val="baseline"/>
        <sz val="14"/>
        <color rgb="FFE7223A"/>
        <name val="Montserrat"/>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ill>
        <patternFill patternType="solid">
          <fgColor rgb="FF000000"/>
          <bgColor rgb="FFFDE9EB"/>
        </patternFill>
      </fill>
    </dxf>
    <dxf>
      <font>
        <b val="0"/>
        <i val="0"/>
        <strike val="0"/>
        <condense val="0"/>
        <extend val="0"/>
        <outline val="0"/>
        <shadow val="0"/>
        <u val="none"/>
        <vertAlign val="baseline"/>
        <sz val="14"/>
        <color rgb="FFE7223A"/>
        <name val="Montserrat"/>
        <scheme val="none"/>
      </font>
      <fill>
        <patternFill patternType="solid">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ont>
        <b val="0"/>
        <i val="0"/>
        <strike val="0"/>
        <condense val="0"/>
        <extend val="0"/>
        <outline val="0"/>
        <shadow val="0"/>
        <u val="none"/>
        <vertAlign val="baseline"/>
        <sz val="14"/>
        <color rgb="FFE7223A"/>
        <name val="Montserrat"/>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
      <fill>
        <patternFill patternType="solid">
          <fgColor indexed="64"/>
          <bgColor rgb="FFFDE9EB"/>
        </patternFill>
      </fill>
    </dxf>
    <dxf>
      <font>
        <b val="0"/>
        <i val="0"/>
        <strike val="0"/>
        <condense val="0"/>
        <extend val="0"/>
        <outline val="0"/>
        <shadow val="0"/>
        <u val="none"/>
        <vertAlign val="baseline"/>
        <sz val="14"/>
        <color rgb="FFE7223A"/>
        <name val="Montserrat"/>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rgb="FFE7223A"/>
        <name val="Montserrat"/>
        <scheme val="none"/>
      </font>
      <fill>
        <patternFill patternType="none">
          <fgColor indexed="64"/>
          <bgColor auto="1"/>
        </patternFill>
      </fill>
      <alignment horizontal="center" vertical="center" textRotation="0" wrapText="0" indent="0" justifyLastLine="0" shrinkToFit="0" readingOrder="0"/>
    </dxf>
  </dxfs>
  <tableStyles count="0" defaultTableStyle="TableStyleMedium2" defaultPivotStyle="PivotStyleLight16"/>
  <colors>
    <mruColors>
      <color rgb="FFF49EA8"/>
      <color rgb="FFEF6B7B"/>
      <color rgb="FFEA3E52"/>
      <color rgb="FFE7223A"/>
      <color rgb="FFFFFFFF"/>
      <color rgb="FFF7ABB2"/>
      <color rgb="FFFBD1D5"/>
      <color rgb="FFFDE9EB"/>
      <color rgb="FFF3919D"/>
      <color rgb="FFFF45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409044107581793"/>
          <c:y val="6.3327576280944153E-2"/>
          <c:w val="0.68327917343665379"/>
          <c:h val="0.8031187811368139"/>
        </c:manualLayout>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Maintenanciers_list!$D$6:$D$10</c:f>
              <c:strCache>
                <c:ptCount val="4"/>
                <c:pt idx="0">
                  <c:v>ESSAKINE</c:v>
                </c:pt>
                <c:pt idx="1">
                  <c:v>MED Drafi</c:v>
                </c:pt>
                <c:pt idx="2">
                  <c:v>ABDALLAH HACHM</c:v>
                </c:pt>
                <c:pt idx="3">
                  <c:v>ABDALLAH HACHMT</c:v>
                </c:pt>
              </c:strCache>
            </c:strRef>
          </c:cat>
          <c:val>
            <c:numRef>
              <c:f>Maintenanciers_list!$I$6:$I$10</c:f>
              <c:numCache>
                <c:formatCode>0</c:formatCode>
                <c:ptCount val="5"/>
                <c:pt idx="0">
                  <c:v>5</c:v>
                </c:pt>
                <c:pt idx="1">
                  <c:v>0</c:v>
                </c:pt>
              </c:numCache>
            </c:numRef>
          </c:val>
          <c:extLst>
            <c:ext xmlns:c16="http://schemas.microsoft.com/office/drawing/2014/chart" uri="{C3380CC4-5D6E-409C-BE32-E72D297353CC}">
              <c16:uniqueId val="{00000000-480F-47C8-AE96-DD5C15DD2CAB}"/>
            </c:ext>
          </c:extLst>
        </c:ser>
        <c:dLbls>
          <c:dLblPos val="outEnd"/>
          <c:showLegendKey val="0"/>
          <c:showVal val="1"/>
          <c:showCatName val="0"/>
          <c:showSerName val="0"/>
          <c:showPercent val="0"/>
          <c:showBubbleSize val="0"/>
        </c:dLbls>
        <c:gapWidth val="247"/>
        <c:axId val="934071567"/>
        <c:axId val="934075311"/>
      </c:barChart>
      <c:catAx>
        <c:axId val="934071567"/>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dk1">
                    <a:lumMod val="65000"/>
                    <a:lumOff val="35000"/>
                  </a:schemeClr>
                </a:solidFill>
                <a:latin typeface="+mn-lt"/>
                <a:ea typeface="+mn-ea"/>
                <a:cs typeface="+mn-cs"/>
              </a:defRPr>
            </a:pPr>
            <a:endParaRPr lang="fr-FR"/>
          </a:p>
        </c:txPr>
        <c:crossAx val="934075311"/>
        <c:crosses val="autoZero"/>
        <c:auto val="1"/>
        <c:lblAlgn val="ctr"/>
        <c:lblOffset val="100"/>
        <c:noMultiLvlLbl val="0"/>
      </c:catAx>
      <c:valAx>
        <c:axId val="934075311"/>
        <c:scaling>
          <c:orientation val="minMax"/>
        </c:scaling>
        <c:delete val="0"/>
        <c:axPos val="b"/>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fr-FR"/>
          </a:p>
        </c:txPr>
        <c:crossAx val="934071567"/>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Type des Plans</a:t>
            </a:r>
          </a:p>
        </c:rich>
      </c:tx>
      <c:layout>
        <c:manualLayout>
          <c:xMode val="edge"/>
          <c:yMode val="edge"/>
          <c:x val="0.16200620755738868"/>
          <c:y val="0.388661768841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3.2128275632212606E-2"/>
          <c:y val="1.8404910198167986E-2"/>
          <c:w val="0.47805205599300088"/>
          <c:h val="0.79675342665500148"/>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AF-444B-9341-25C18B81C3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AF-444B-9341-25C18B81C31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Plan_list!$AA$7:$AA$8</c:f>
              <c:strCache>
                <c:ptCount val="2"/>
                <c:pt idx="0">
                  <c:v>Mecanique</c:v>
                </c:pt>
                <c:pt idx="1">
                  <c:v>Electric</c:v>
                </c:pt>
              </c:strCache>
            </c:strRef>
          </c:cat>
          <c:val>
            <c:numRef>
              <c:f>Plan_list!$AB$7:$AB$8</c:f>
              <c:numCache>
                <c:formatCode>General</c:formatCode>
                <c:ptCount val="2"/>
                <c:pt idx="0">
                  <c:v>3</c:v>
                </c:pt>
                <c:pt idx="1">
                  <c:v>2</c:v>
                </c:pt>
              </c:numCache>
            </c:numRef>
          </c:val>
          <c:extLst>
            <c:ext xmlns:c16="http://schemas.microsoft.com/office/drawing/2014/chart" uri="{C3380CC4-5D6E-409C-BE32-E72D297353CC}">
              <c16:uniqueId val="{00000004-42AF-444B-9341-25C18B81C31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9.9051160271632702E-2"/>
          <c:y val="0.85132600494251542"/>
          <c:w val="0.32888188976377952"/>
          <c:h val="8.3717191601049873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Occurence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spPr>
            <a:solidFill>
              <a:schemeClr val="accent1"/>
            </a:solidFill>
            <a:ln>
              <a:noFill/>
            </a:ln>
            <a:effectLst/>
            <a:sp3d/>
          </c:spPr>
          <c:invertIfNegative val="0"/>
          <c:cat>
            <c:strRef>
              <c:f>Plan_list!$E$6:$E$10</c:f>
              <c:strCache>
                <c:ptCount val="5"/>
                <c:pt idx="0">
                  <c:v>PM.4</c:v>
                </c:pt>
                <c:pt idx="1">
                  <c:v>PM.5</c:v>
                </c:pt>
                <c:pt idx="2">
                  <c:v>PM.77</c:v>
                </c:pt>
                <c:pt idx="3">
                  <c:v>PM.66</c:v>
                </c:pt>
                <c:pt idx="4">
                  <c:v>PM.78</c:v>
                </c:pt>
              </c:strCache>
            </c:strRef>
          </c:cat>
          <c:val>
            <c:numRef>
              <c:f>Plan_list!$J$6:$J$10</c:f>
              <c:numCache>
                <c:formatCode>General</c:formatCode>
                <c:ptCount val="5"/>
                <c:pt idx="0">
                  <c:v>11</c:v>
                </c:pt>
                <c:pt idx="1">
                  <c:v>1</c:v>
                </c:pt>
                <c:pt idx="2">
                  <c:v>0</c:v>
                </c:pt>
                <c:pt idx="3">
                  <c:v>0</c:v>
                </c:pt>
                <c:pt idx="4">
                  <c:v>2</c:v>
                </c:pt>
              </c:numCache>
            </c:numRef>
          </c:val>
          <c:extLst>
            <c:ext xmlns:c16="http://schemas.microsoft.com/office/drawing/2014/chart" uri="{C3380CC4-5D6E-409C-BE32-E72D297353CC}">
              <c16:uniqueId val="{00000000-63E8-4FE4-A04E-78F6214A5329}"/>
            </c:ext>
          </c:extLst>
        </c:ser>
        <c:dLbls>
          <c:showLegendKey val="0"/>
          <c:showVal val="0"/>
          <c:showCatName val="0"/>
          <c:showSerName val="0"/>
          <c:showPercent val="0"/>
          <c:showBubbleSize val="0"/>
        </c:dLbls>
        <c:gapWidth val="150"/>
        <c:shape val="box"/>
        <c:axId val="1243805231"/>
        <c:axId val="1243803151"/>
        <c:axId val="0"/>
      </c:bar3DChart>
      <c:catAx>
        <c:axId val="12438052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43803151"/>
        <c:crosses val="autoZero"/>
        <c:auto val="1"/>
        <c:lblAlgn val="ctr"/>
        <c:lblOffset val="100"/>
        <c:noMultiLvlLbl val="0"/>
      </c:catAx>
      <c:valAx>
        <c:axId val="12438031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4380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961067366579316E-3"/>
          <c:y val="0"/>
          <c:w val="0.51120800524934373"/>
          <c:h val="0.85201334208223956"/>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7C-44B7-972D-70CD62553F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7C-44B7-972D-70CD62553F8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'Tasks List'!$AJ$5:$AJ$6</c:f>
              <c:strCache>
                <c:ptCount val="2"/>
                <c:pt idx="0">
                  <c:v>Plannifier</c:v>
                </c:pt>
                <c:pt idx="1">
                  <c:v>Fait</c:v>
                </c:pt>
              </c:strCache>
            </c:strRef>
          </c:cat>
          <c:val>
            <c:numRef>
              <c:f>'Tasks List'!$AK$5:$AK$6</c:f>
              <c:numCache>
                <c:formatCode>General</c:formatCode>
                <c:ptCount val="2"/>
                <c:pt idx="0">
                  <c:v>12</c:v>
                </c:pt>
                <c:pt idx="1">
                  <c:v>2</c:v>
                </c:pt>
              </c:numCache>
            </c:numRef>
          </c:val>
          <c:extLst>
            <c:ext xmlns:c16="http://schemas.microsoft.com/office/drawing/2014/chart" uri="{C3380CC4-5D6E-409C-BE32-E72D297353CC}">
              <c16:uniqueId val="{00000004-D57C-44B7-972D-70CD62553F8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9.4940944881889783E-2"/>
          <c:y val="0.86803915135608045"/>
          <c:w val="0.31011811023622049"/>
          <c:h val="9.4923811606882472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hyperlink" Target="#Maintenancier!G13"/><Relationship Id="rId2" Type="http://schemas.openxmlformats.org/officeDocument/2006/relationships/image" Target="../media/image4.png"/><Relationship Id="rId1" Type="http://schemas.openxmlformats.org/officeDocument/2006/relationships/hyperlink" Target="#Maintenancier!E13"/></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hyperlink" Target="#Plan!G10"/><Relationship Id="rId2" Type="http://schemas.openxmlformats.org/officeDocument/2006/relationships/image" Target="../media/image4.png"/><Relationship Id="rId1" Type="http://schemas.openxmlformats.org/officeDocument/2006/relationships/hyperlink" Target="#Plan!E10"/><Relationship Id="rId4" Type="http://schemas.openxmlformats.org/officeDocument/2006/relationships/hyperlink" Target="#Plan!E13"/></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35</xdr:col>
      <xdr:colOff>415836</xdr:colOff>
      <xdr:row>18</xdr:row>
      <xdr:rowOff>24426</xdr:rowOff>
    </xdr:from>
    <xdr:to>
      <xdr:col>36</xdr:col>
      <xdr:colOff>186447</xdr:colOff>
      <xdr:row>19</xdr:row>
      <xdr:rowOff>210094</xdr:rowOff>
    </xdr:to>
    <xdr:pic>
      <xdr:nvPicPr>
        <xdr:cNvPr id="12" name="Picture 11">
          <a:extLst>
            <a:ext uri="{FF2B5EF4-FFF2-40B4-BE49-F238E27FC236}">
              <a16:creationId xmlns:a16="http://schemas.microsoft.com/office/drawing/2014/main" id="{5AD1C234-F4C4-4166-A2B3-25B35B5DBE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80076" y="3956346"/>
          <a:ext cx="380211" cy="376168"/>
        </a:xfrm>
        <a:prstGeom prst="rect">
          <a:avLst/>
        </a:prstGeom>
      </xdr:spPr>
    </xdr:pic>
    <xdr:clientData/>
  </xdr:twoCellAnchor>
  <xdr:twoCellAnchor>
    <xdr:from>
      <xdr:col>10</xdr:col>
      <xdr:colOff>152400</xdr:colOff>
      <xdr:row>1</xdr:row>
      <xdr:rowOff>178905</xdr:rowOff>
    </xdr:from>
    <xdr:to>
      <xdr:col>17</xdr:col>
      <xdr:colOff>68580</xdr:colOff>
      <xdr:row>4</xdr:row>
      <xdr:rowOff>72887</xdr:rowOff>
    </xdr:to>
    <xdr:sp macro="[0]!Module2.RectangleDiagonalCornersSnipped2_Click" textlink="">
      <xdr:nvSpPr>
        <xdr:cNvPr id="3" name="Rectangle: Diagonal Corners Snipped 2">
          <a:extLst>
            <a:ext uri="{FF2B5EF4-FFF2-40B4-BE49-F238E27FC236}">
              <a16:creationId xmlns:a16="http://schemas.microsoft.com/office/drawing/2014/main" id="{B15E8954-8CBA-4CCB-914C-0486385BAD83}"/>
            </a:ext>
          </a:extLst>
        </xdr:cNvPr>
        <xdr:cNvSpPr/>
      </xdr:nvSpPr>
      <xdr:spPr>
        <a:xfrm>
          <a:off x="5120640" y="399885"/>
          <a:ext cx="1623060" cy="442622"/>
        </a:xfrm>
        <a:prstGeom prst="snip2DiagRect">
          <a:avLst/>
        </a:prstGeom>
        <a:solidFill>
          <a:srgbClr val="FFFFFF"/>
        </a:solidFill>
        <a:ln>
          <a:solidFill>
            <a:schemeClr val="bg1">
              <a:lumMod val="65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b="1" cap="none" spc="50">
              <a:ln w="0"/>
              <a:solidFill>
                <a:sysClr val="windowText" lastClr="000000"/>
              </a:solidFill>
              <a:effectLst>
                <a:outerShdw blurRad="50800" dist="38100" dir="18900000" algn="bl" rotWithShape="0">
                  <a:prstClr val="black">
                    <a:alpha val="40000"/>
                  </a:prstClr>
                </a:outerShdw>
              </a:effectLst>
              <a:latin typeface="Eras Bold ITC" panose="020B0907030504020204" pitchFamily="34" charset="0"/>
            </a:rPr>
            <a:t>Maintenanciers</a:t>
          </a:r>
        </a:p>
      </xdr:txBody>
    </xdr:sp>
    <xdr:clientData/>
  </xdr:twoCellAnchor>
  <xdr:twoCellAnchor>
    <xdr:from>
      <xdr:col>17</xdr:col>
      <xdr:colOff>221974</xdr:colOff>
      <xdr:row>1</xdr:row>
      <xdr:rowOff>181887</xdr:rowOff>
    </xdr:from>
    <xdr:to>
      <xdr:col>23</xdr:col>
      <xdr:colOff>51021</xdr:colOff>
      <xdr:row>4</xdr:row>
      <xdr:rowOff>78520</xdr:rowOff>
    </xdr:to>
    <xdr:sp macro="[0]!RectangleDiagonalCornersSnipped3_Click" textlink="">
      <xdr:nvSpPr>
        <xdr:cNvPr id="4" name="Rectangle: Diagonal Corners Snipped 3">
          <a:extLst>
            <a:ext uri="{FF2B5EF4-FFF2-40B4-BE49-F238E27FC236}">
              <a16:creationId xmlns:a16="http://schemas.microsoft.com/office/drawing/2014/main" id="{AE2487FD-3A4A-49DA-8075-1C5CBA8FBD02}"/>
            </a:ext>
          </a:extLst>
        </xdr:cNvPr>
        <xdr:cNvSpPr/>
      </xdr:nvSpPr>
      <xdr:spPr>
        <a:xfrm>
          <a:off x="6897094" y="402867"/>
          <a:ext cx="1292087" cy="445273"/>
        </a:xfrm>
        <a:prstGeom prst="snip2DiagRect">
          <a:avLst/>
        </a:prstGeom>
        <a:solidFill>
          <a:srgbClr val="FFFFFF"/>
        </a:solidFill>
        <a:ln>
          <a:solidFill>
            <a:schemeClr val="bg1">
              <a:lumMod val="65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200" b="1" cap="none" spc="50">
              <a:ln w="0"/>
              <a:solidFill>
                <a:sysClr val="windowText" lastClr="000000"/>
              </a:solidFill>
              <a:effectLst>
                <a:outerShdw blurRad="50800" dist="38100" dir="18900000" algn="bl" rotWithShape="0">
                  <a:prstClr val="black">
                    <a:alpha val="40000"/>
                  </a:prstClr>
                </a:outerShdw>
              </a:effectLst>
              <a:latin typeface="Eras Bold ITC" panose="020B0907030504020204" pitchFamily="34" charset="0"/>
              <a:ea typeface="+mn-ea"/>
              <a:cs typeface="+mn-cs"/>
            </a:rPr>
            <a:t>Taches</a:t>
          </a:r>
        </a:p>
      </xdr:txBody>
    </xdr:sp>
    <xdr:clientData/>
  </xdr:twoCellAnchor>
  <xdr:twoCellAnchor>
    <xdr:from>
      <xdr:col>23</xdr:col>
      <xdr:colOff>241853</xdr:colOff>
      <xdr:row>1</xdr:row>
      <xdr:rowOff>181887</xdr:rowOff>
    </xdr:from>
    <xdr:to>
      <xdr:col>29</xdr:col>
      <xdr:colOff>70900</xdr:colOff>
      <xdr:row>4</xdr:row>
      <xdr:rowOff>78520</xdr:rowOff>
    </xdr:to>
    <xdr:sp macro="[0]!RectangleDiagonalCornersSnipped4_Click" textlink="">
      <xdr:nvSpPr>
        <xdr:cNvPr id="5" name="Rectangle: Diagonal Corners Snipped 4">
          <a:extLst>
            <a:ext uri="{FF2B5EF4-FFF2-40B4-BE49-F238E27FC236}">
              <a16:creationId xmlns:a16="http://schemas.microsoft.com/office/drawing/2014/main" id="{6AF423FF-F29F-4DF9-B34A-61524ACC217A}"/>
            </a:ext>
          </a:extLst>
        </xdr:cNvPr>
        <xdr:cNvSpPr/>
      </xdr:nvSpPr>
      <xdr:spPr>
        <a:xfrm>
          <a:off x="8380013" y="402867"/>
          <a:ext cx="1292087" cy="445273"/>
        </a:xfrm>
        <a:prstGeom prst="snip2DiagRect">
          <a:avLst/>
        </a:prstGeom>
        <a:solidFill>
          <a:srgbClr val="FFFFFF"/>
        </a:solidFill>
        <a:ln>
          <a:solidFill>
            <a:schemeClr val="bg1">
              <a:lumMod val="65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200" b="1" cap="none" spc="50">
              <a:ln w="0"/>
              <a:solidFill>
                <a:sysClr val="windowText" lastClr="000000"/>
              </a:solidFill>
              <a:effectLst>
                <a:outerShdw blurRad="50800" dist="38100" dir="18900000" algn="bl" rotWithShape="0">
                  <a:prstClr val="black">
                    <a:alpha val="40000"/>
                  </a:prstClr>
                </a:outerShdw>
              </a:effectLst>
              <a:latin typeface="Eras Bold ITC" panose="020B0907030504020204" pitchFamily="34" charset="0"/>
              <a:ea typeface="+mn-ea"/>
              <a:cs typeface="+mn-cs"/>
            </a:rPr>
            <a:t>Plans</a:t>
          </a:r>
        </a:p>
      </xdr:txBody>
    </xdr:sp>
    <xdr:clientData/>
  </xdr:twoCellAnchor>
  <xdr:twoCellAnchor>
    <xdr:from>
      <xdr:col>6</xdr:col>
      <xdr:colOff>59635</xdr:colOff>
      <xdr:row>4</xdr:row>
      <xdr:rowOff>145774</xdr:rowOff>
    </xdr:from>
    <xdr:to>
      <xdr:col>11</xdr:col>
      <xdr:colOff>132522</xdr:colOff>
      <xdr:row>7</xdr:row>
      <xdr:rowOff>39757</xdr:rowOff>
    </xdr:to>
    <xdr:sp macro="[0]!RectangleDiagonalCornersSnipped5_Click" textlink="">
      <xdr:nvSpPr>
        <xdr:cNvPr id="6" name="Rectangle: Diagonal Corners Snipped 5">
          <a:extLst>
            <a:ext uri="{FF2B5EF4-FFF2-40B4-BE49-F238E27FC236}">
              <a16:creationId xmlns:a16="http://schemas.microsoft.com/office/drawing/2014/main" id="{D9CCBA43-B083-4510-9396-FBEA773733DB}"/>
            </a:ext>
          </a:extLst>
        </xdr:cNvPr>
        <xdr:cNvSpPr/>
      </xdr:nvSpPr>
      <xdr:spPr>
        <a:xfrm>
          <a:off x="3776870" y="887896"/>
          <a:ext cx="1298713" cy="450574"/>
        </a:xfrm>
        <a:prstGeom prst="snip2DiagRect">
          <a:avLst/>
        </a:prstGeom>
        <a:solidFill>
          <a:srgbClr val="FFB6C1"/>
        </a:solidFill>
        <a:ln>
          <a:solidFill>
            <a:schemeClr val="bg1">
              <a:lumMod val="65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b="1" cap="none" spc="50">
              <a:ln w="0"/>
              <a:solidFill>
                <a:sysClr val="windowText" lastClr="000000"/>
              </a:solidFill>
              <a:effectLst>
                <a:outerShdw blurRad="50800" dist="38100" dir="18900000" algn="bl" rotWithShape="0">
                  <a:prstClr val="black">
                    <a:alpha val="40000"/>
                  </a:prstClr>
                </a:outerShdw>
              </a:effectLst>
              <a:latin typeface="Eras Bold ITC" panose="020B0907030504020204" pitchFamily="34" charset="0"/>
            </a:rPr>
            <a:t>Mécanique</a:t>
          </a:r>
        </a:p>
      </xdr:txBody>
    </xdr:sp>
    <xdr:clientData/>
  </xdr:twoCellAnchor>
  <xdr:twoCellAnchor>
    <xdr:from>
      <xdr:col>12</xdr:col>
      <xdr:colOff>136829</xdr:colOff>
      <xdr:row>4</xdr:row>
      <xdr:rowOff>136167</xdr:rowOff>
    </xdr:from>
    <xdr:to>
      <xdr:col>17</xdr:col>
      <xdr:colOff>209716</xdr:colOff>
      <xdr:row>7</xdr:row>
      <xdr:rowOff>30150</xdr:rowOff>
    </xdr:to>
    <xdr:sp macro="[0]!RectangleDiagonalCornersSnipped6_Click" textlink="">
      <xdr:nvSpPr>
        <xdr:cNvPr id="7" name="Rectangle: Diagonal Corners Snipped 6">
          <a:extLst>
            <a:ext uri="{FF2B5EF4-FFF2-40B4-BE49-F238E27FC236}">
              <a16:creationId xmlns:a16="http://schemas.microsoft.com/office/drawing/2014/main" id="{E0D3E188-7C8F-4EC0-8DB5-3781C5C92868}"/>
            </a:ext>
          </a:extLst>
        </xdr:cNvPr>
        <xdr:cNvSpPr/>
      </xdr:nvSpPr>
      <xdr:spPr>
        <a:xfrm>
          <a:off x="5569889" y="867687"/>
          <a:ext cx="1292087" cy="488343"/>
        </a:xfrm>
        <a:prstGeom prst="snip2DiagRect">
          <a:avLst/>
        </a:prstGeom>
        <a:solidFill>
          <a:srgbClr val="FFFFFF"/>
        </a:solidFill>
        <a:ln>
          <a:solidFill>
            <a:schemeClr val="bg1">
              <a:lumMod val="65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200" b="1" cap="none" spc="50">
              <a:ln w="0"/>
              <a:solidFill>
                <a:sysClr val="windowText" lastClr="000000"/>
              </a:solidFill>
              <a:effectLst>
                <a:outerShdw blurRad="50800" dist="38100" dir="18900000" algn="bl" rotWithShape="0">
                  <a:prstClr val="black">
                    <a:alpha val="40000"/>
                  </a:prstClr>
                </a:outerShdw>
              </a:effectLst>
              <a:latin typeface="Eras Bold ITC" panose="020B0907030504020204" pitchFamily="34" charset="0"/>
              <a:ea typeface="+mn-ea"/>
              <a:cs typeface="+mn-cs"/>
            </a:rPr>
            <a:t>Eléctrique</a:t>
          </a:r>
        </a:p>
      </xdr:txBody>
    </xdr:sp>
    <xdr:clientData/>
  </xdr:twoCellAnchor>
  <xdr:twoCellAnchor>
    <xdr:from>
      <xdr:col>0</xdr:col>
      <xdr:colOff>302150</xdr:colOff>
      <xdr:row>0</xdr:row>
      <xdr:rowOff>129540</xdr:rowOff>
    </xdr:from>
    <xdr:to>
      <xdr:col>0</xdr:col>
      <xdr:colOff>1462984</xdr:colOff>
      <xdr:row>3</xdr:row>
      <xdr:rowOff>0</xdr:rowOff>
    </xdr:to>
    <xdr:sp macro="" textlink="">
      <xdr:nvSpPr>
        <xdr:cNvPr id="10" name="Rectangle: Diagonal Corners Rounded 9">
          <a:extLst>
            <a:ext uri="{FF2B5EF4-FFF2-40B4-BE49-F238E27FC236}">
              <a16:creationId xmlns:a16="http://schemas.microsoft.com/office/drawing/2014/main" id="{FD8AD5ED-62BB-4077-905B-9415D5507F45}"/>
            </a:ext>
          </a:extLst>
        </xdr:cNvPr>
        <xdr:cNvSpPr/>
      </xdr:nvSpPr>
      <xdr:spPr>
        <a:xfrm>
          <a:off x="302150" y="129540"/>
          <a:ext cx="1160834" cy="460182"/>
        </a:xfrm>
        <a:prstGeom prst="round2DiagRect">
          <a:avLst>
            <a:gd name="adj1" fmla="val 50000"/>
            <a:gd name="adj2" fmla="val 0"/>
          </a:avLst>
        </a:prstGeom>
        <a:solidFill>
          <a:srgbClr val="FFFFFF"/>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fr-CA" sz="1100">
              <a:solidFill>
                <a:srgbClr val="FF0000"/>
              </a:solidFill>
              <a:latin typeface="Bodoni MT Black" panose="02070A03080606020203" pitchFamily="18" charset="0"/>
            </a:rPr>
            <a:t>SBGS</a:t>
          </a:r>
        </a:p>
      </xdr:txBody>
    </xdr:sp>
    <xdr:clientData/>
  </xdr:twoCellAnchor>
  <xdr:twoCellAnchor>
    <xdr:from>
      <xdr:col>0</xdr:col>
      <xdr:colOff>0</xdr:colOff>
      <xdr:row>6</xdr:row>
      <xdr:rowOff>26504</xdr:rowOff>
    </xdr:from>
    <xdr:to>
      <xdr:col>1</xdr:col>
      <xdr:colOff>994</xdr:colOff>
      <xdr:row>7</xdr:row>
      <xdr:rowOff>93759</xdr:rowOff>
    </xdr:to>
    <xdr:sp macro="[0]!Rectangle40_Click" textlink="">
      <xdr:nvSpPr>
        <xdr:cNvPr id="41" name="Rectangle 40">
          <a:extLst>
            <a:ext uri="{FF2B5EF4-FFF2-40B4-BE49-F238E27FC236}">
              <a16:creationId xmlns:a16="http://schemas.microsoft.com/office/drawing/2014/main" id="{9A3DEA56-02FA-4C3A-A543-0A3DB93ACBAA}"/>
            </a:ext>
          </a:extLst>
        </xdr:cNvPr>
        <xdr:cNvSpPr/>
      </xdr:nvSpPr>
      <xdr:spPr>
        <a:xfrm>
          <a:off x="0" y="1207604"/>
          <a:ext cx="1654534" cy="250135"/>
        </a:xfrm>
        <a:prstGeom prst="rect">
          <a:avLst/>
        </a:prstGeom>
        <a:solidFill>
          <a:srgbClr val="FFB6C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janvier</a:t>
          </a:r>
        </a:p>
      </xdr:txBody>
    </xdr:sp>
    <xdr:clientData/>
  </xdr:twoCellAnchor>
  <xdr:twoCellAnchor>
    <xdr:from>
      <xdr:col>0</xdr:col>
      <xdr:colOff>0</xdr:colOff>
      <xdr:row>8</xdr:row>
      <xdr:rowOff>1656</xdr:rowOff>
    </xdr:from>
    <xdr:to>
      <xdr:col>1</xdr:col>
      <xdr:colOff>18876</xdr:colOff>
      <xdr:row>8</xdr:row>
      <xdr:rowOff>253448</xdr:rowOff>
    </xdr:to>
    <xdr:sp macro="[0]!Rectangle42_Click" textlink="">
      <xdr:nvSpPr>
        <xdr:cNvPr id="43" name="Rectangle 42">
          <a:extLst>
            <a:ext uri="{FF2B5EF4-FFF2-40B4-BE49-F238E27FC236}">
              <a16:creationId xmlns:a16="http://schemas.microsoft.com/office/drawing/2014/main" id="{5BA222F6-A8CB-4465-BC2B-CB99D16D75AD}"/>
            </a:ext>
          </a:extLst>
        </xdr:cNvPr>
        <xdr:cNvSpPr/>
      </xdr:nvSpPr>
      <xdr:spPr>
        <a:xfrm>
          <a:off x="0" y="1518036"/>
          <a:ext cx="1672416" cy="251792"/>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200">
              <a:solidFill>
                <a:sysClr val="windowText" lastClr="000000"/>
              </a:solidFill>
              <a:latin typeface="Montserrat ExtraBold" pitchFamily="2" charset="0"/>
              <a:ea typeface="+mn-ea"/>
              <a:cs typeface="+mn-cs"/>
            </a:rPr>
            <a:t>février</a:t>
          </a:r>
        </a:p>
      </xdr:txBody>
    </xdr:sp>
    <xdr:clientData/>
  </xdr:twoCellAnchor>
  <xdr:twoCellAnchor>
    <xdr:from>
      <xdr:col>0</xdr:col>
      <xdr:colOff>0</xdr:colOff>
      <xdr:row>8</xdr:row>
      <xdr:rowOff>354164</xdr:rowOff>
    </xdr:from>
    <xdr:to>
      <xdr:col>1</xdr:col>
      <xdr:colOff>994</xdr:colOff>
      <xdr:row>8</xdr:row>
      <xdr:rowOff>604299</xdr:rowOff>
    </xdr:to>
    <xdr:sp macro="[0]!Rectangle12_Click" textlink="">
      <xdr:nvSpPr>
        <xdr:cNvPr id="13" name="Rectangle 12">
          <a:extLst>
            <a:ext uri="{FF2B5EF4-FFF2-40B4-BE49-F238E27FC236}">
              <a16:creationId xmlns:a16="http://schemas.microsoft.com/office/drawing/2014/main" id="{D66D2FE6-3B9C-430F-AF93-4365AB581F2D}"/>
            </a:ext>
          </a:extLst>
        </xdr:cNvPr>
        <xdr:cNvSpPr/>
      </xdr:nvSpPr>
      <xdr:spPr>
        <a:xfrm>
          <a:off x="0" y="1870544"/>
          <a:ext cx="1654534" cy="250135"/>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mars </a:t>
          </a:r>
        </a:p>
      </xdr:txBody>
    </xdr:sp>
    <xdr:clientData/>
  </xdr:twoCellAnchor>
  <xdr:twoCellAnchor>
    <xdr:from>
      <xdr:col>0</xdr:col>
      <xdr:colOff>0</xdr:colOff>
      <xdr:row>9</xdr:row>
      <xdr:rowOff>47376</xdr:rowOff>
    </xdr:from>
    <xdr:to>
      <xdr:col>1</xdr:col>
      <xdr:colOff>18876</xdr:colOff>
      <xdr:row>10</xdr:row>
      <xdr:rowOff>76200</xdr:rowOff>
    </xdr:to>
    <xdr:sp macro="[0]!Rectangle13_Click" textlink="">
      <xdr:nvSpPr>
        <xdr:cNvPr id="14" name="Rectangle 13">
          <a:extLst>
            <a:ext uri="{FF2B5EF4-FFF2-40B4-BE49-F238E27FC236}">
              <a16:creationId xmlns:a16="http://schemas.microsoft.com/office/drawing/2014/main" id="{B2E05551-3F0E-4987-B68B-02667977398A}"/>
            </a:ext>
          </a:extLst>
        </xdr:cNvPr>
        <xdr:cNvSpPr/>
      </xdr:nvSpPr>
      <xdr:spPr>
        <a:xfrm>
          <a:off x="0" y="2135256"/>
          <a:ext cx="1672416" cy="219324"/>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avril</a:t>
          </a:r>
        </a:p>
      </xdr:txBody>
    </xdr:sp>
    <xdr:clientData/>
  </xdr:twoCellAnchor>
  <xdr:twoCellAnchor>
    <xdr:from>
      <xdr:col>0</xdr:col>
      <xdr:colOff>6627</xdr:colOff>
      <xdr:row>10</xdr:row>
      <xdr:rowOff>171284</xdr:rowOff>
    </xdr:from>
    <xdr:to>
      <xdr:col>1</xdr:col>
      <xdr:colOff>7621</xdr:colOff>
      <xdr:row>12</xdr:row>
      <xdr:rowOff>32799</xdr:rowOff>
    </xdr:to>
    <xdr:sp macro="[0]!Rectangle14_Click" textlink="">
      <xdr:nvSpPr>
        <xdr:cNvPr id="15" name="Rectangle 14">
          <a:extLst>
            <a:ext uri="{FF2B5EF4-FFF2-40B4-BE49-F238E27FC236}">
              <a16:creationId xmlns:a16="http://schemas.microsoft.com/office/drawing/2014/main" id="{0AD25B93-6035-420C-B9D2-C8166DF105D6}"/>
            </a:ext>
          </a:extLst>
        </xdr:cNvPr>
        <xdr:cNvSpPr/>
      </xdr:nvSpPr>
      <xdr:spPr>
        <a:xfrm>
          <a:off x="6627" y="2510624"/>
          <a:ext cx="1654534" cy="250135"/>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mai</a:t>
          </a:r>
        </a:p>
      </xdr:txBody>
    </xdr:sp>
    <xdr:clientData/>
  </xdr:twoCellAnchor>
  <xdr:twoCellAnchor>
    <xdr:from>
      <xdr:col>0</xdr:col>
      <xdr:colOff>0</xdr:colOff>
      <xdr:row>12</xdr:row>
      <xdr:rowOff>138816</xdr:rowOff>
    </xdr:from>
    <xdr:to>
      <xdr:col>1</xdr:col>
      <xdr:colOff>18876</xdr:colOff>
      <xdr:row>13</xdr:row>
      <xdr:rowOff>192488</xdr:rowOff>
    </xdr:to>
    <xdr:sp macro="[0]!Rectangle15_Click" textlink="">
      <xdr:nvSpPr>
        <xdr:cNvPr id="16" name="Rectangle 15">
          <a:extLst>
            <a:ext uri="{FF2B5EF4-FFF2-40B4-BE49-F238E27FC236}">
              <a16:creationId xmlns:a16="http://schemas.microsoft.com/office/drawing/2014/main" id="{4EFBD8C3-3B21-479E-9A1F-400D5D84A6CE}"/>
            </a:ext>
          </a:extLst>
        </xdr:cNvPr>
        <xdr:cNvSpPr/>
      </xdr:nvSpPr>
      <xdr:spPr>
        <a:xfrm>
          <a:off x="0" y="2866776"/>
          <a:ext cx="1672416" cy="251792"/>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juin</a:t>
          </a:r>
        </a:p>
      </xdr:txBody>
    </xdr:sp>
    <xdr:clientData/>
  </xdr:twoCellAnchor>
  <xdr:twoCellAnchor>
    <xdr:from>
      <xdr:col>0</xdr:col>
      <xdr:colOff>6627</xdr:colOff>
      <xdr:row>14</xdr:row>
      <xdr:rowOff>125564</xdr:rowOff>
    </xdr:from>
    <xdr:to>
      <xdr:col>1</xdr:col>
      <xdr:colOff>7621</xdr:colOff>
      <xdr:row>15</xdr:row>
      <xdr:rowOff>177579</xdr:rowOff>
    </xdr:to>
    <xdr:sp macro="[0]!Rectangle16_Click" textlink="">
      <xdr:nvSpPr>
        <xdr:cNvPr id="17" name="Rectangle 16">
          <a:extLst>
            <a:ext uri="{FF2B5EF4-FFF2-40B4-BE49-F238E27FC236}">
              <a16:creationId xmlns:a16="http://schemas.microsoft.com/office/drawing/2014/main" id="{E2FA4D2F-93C5-4CE9-9609-61C47E7A0562}"/>
            </a:ext>
          </a:extLst>
        </xdr:cNvPr>
        <xdr:cNvSpPr/>
      </xdr:nvSpPr>
      <xdr:spPr>
        <a:xfrm>
          <a:off x="6627" y="3249764"/>
          <a:ext cx="1654534" cy="250135"/>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juillet</a:t>
          </a:r>
        </a:p>
      </xdr:txBody>
    </xdr:sp>
    <xdr:clientData/>
  </xdr:twoCellAnchor>
  <xdr:twoCellAnchor>
    <xdr:from>
      <xdr:col>0</xdr:col>
      <xdr:colOff>0</xdr:colOff>
      <xdr:row>16</xdr:row>
      <xdr:rowOff>85476</xdr:rowOff>
    </xdr:from>
    <xdr:to>
      <xdr:col>1</xdr:col>
      <xdr:colOff>18876</xdr:colOff>
      <xdr:row>17</xdr:row>
      <xdr:rowOff>139148</xdr:rowOff>
    </xdr:to>
    <xdr:sp macro="[0]!Rectangle17_Click" textlink="">
      <xdr:nvSpPr>
        <xdr:cNvPr id="18" name="Rectangle 17">
          <a:extLst>
            <a:ext uri="{FF2B5EF4-FFF2-40B4-BE49-F238E27FC236}">
              <a16:creationId xmlns:a16="http://schemas.microsoft.com/office/drawing/2014/main" id="{2E82616A-AEBC-4CFC-A352-C4B6D526C9D3}"/>
            </a:ext>
          </a:extLst>
        </xdr:cNvPr>
        <xdr:cNvSpPr/>
      </xdr:nvSpPr>
      <xdr:spPr>
        <a:xfrm>
          <a:off x="0" y="3605916"/>
          <a:ext cx="1672416" cy="251792"/>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août</a:t>
          </a:r>
        </a:p>
      </xdr:txBody>
    </xdr:sp>
    <xdr:clientData/>
  </xdr:twoCellAnchor>
  <xdr:twoCellAnchor>
    <xdr:from>
      <xdr:col>0</xdr:col>
      <xdr:colOff>6627</xdr:colOff>
      <xdr:row>18</xdr:row>
      <xdr:rowOff>56984</xdr:rowOff>
    </xdr:from>
    <xdr:to>
      <xdr:col>1</xdr:col>
      <xdr:colOff>7621</xdr:colOff>
      <xdr:row>19</xdr:row>
      <xdr:rowOff>108999</xdr:rowOff>
    </xdr:to>
    <xdr:sp macro="[0]!Rectangle18_Click" textlink="">
      <xdr:nvSpPr>
        <xdr:cNvPr id="19" name="Rectangle 18">
          <a:extLst>
            <a:ext uri="{FF2B5EF4-FFF2-40B4-BE49-F238E27FC236}">
              <a16:creationId xmlns:a16="http://schemas.microsoft.com/office/drawing/2014/main" id="{A4361C8C-4C6A-4389-BA6E-938C635F8C36}"/>
            </a:ext>
          </a:extLst>
        </xdr:cNvPr>
        <xdr:cNvSpPr/>
      </xdr:nvSpPr>
      <xdr:spPr>
        <a:xfrm>
          <a:off x="6627" y="3973664"/>
          <a:ext cx="1654534" cy="250135"/>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septembre</a:t>
          </a:r>
        </a:p>
      </xdr:txBody>
    </xdr:sp>
    <xdr:clientData/>
  </xdr:twoCellAnchor>
  <xdr:twoCellAnchor>
    <xdr:from>
      <xdr:col>0</xdr:col>
      <xdr:colOff>0</xdr:colOff>
      <xdr:row>20</xdr:row>
      <xdr:rowOff>24516</xdr:rowOff>
    </xdr:from>
    <xdr:to>
      <xdr:col>1</xdr:col>
      <xdr:colOff>18876</xdr:colOff>
      <xdr:row>21</xdr:row>
      <xdr:rowOff>93428</xdr:rowOff>
    </xdr:to>
    <xdr:sp macro="[0]!Rectangle19_Click" textlink="">
      <xdr:nvSpPr>
        <xdr:cNvPr id="20" name="Rectangle 19">
          <a:extLst>
            <a:ext uri="{FF2B5EF4-FFF2-40B4-BE49-F238E27FC236}">
              <a16:creationId xmlns:a16="http://schemas.microsoft.com/office/drawing/2014/main" id="{BCF613B6-AD4C-46B8-B3EC-227DD2F97E57}"/>
            </a:ext>
          </a:extLst>
        </xdr:cNvPr>
        <xdr:cNvSpPr/>
      </xdr:nvSpPr>
      <xdr:spPr>
        <a:xfrm>
          <a:off x="0" y="4329816"/>
          <a:ext cx="1672416" cy="251792"/>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octobre</a:t>
          </a:r>
        </a:p>
      </xdr:txBody>
    </xdr:sp>
    <xdr:clientData/>
  </xdr:twoCellAnchor>
  <xdr:twoCellAnchor>
    <xdr:from>
      <xdr:col>0</xdr:col>
      <xdr:colOff>6627</xdr:colOff>
      <xdr:row>22</xdr:row>
      <xdr:rowOff>34124</xdr:rowOff>
    </xdr:from>
    <xdr:to>
      <xdr:col>1</xdr:col>
      <xdr:colOff>7621</xdr:colOff>
      <xdr:row>23</xdr:row>
      <xdr:rowOff>101379</xdr:rowOff>
    </xdr:to>
    <xdr:sp macro="[0]!Rectangle20_Click" textlink="">
      <xdr:nvSpPr>
        <xdr:cNvPr id="21" name="Rectangle 20">
          <a:extLst>
            <a:ext uri="{FF2B5EF4-FFF2-40B4-BE49-F238E27FC236}">
              <a16:creationId xmlns:a16="http://schemas.microsoft.com/office/drawing/2014/main" id="{B6092C90-9CAA-4C6C-A1ED-C2D3B08C0339}"/>
            </a:ext>
          </a:extLst>
        </xdr:cNvPr>
        <xdr:cNvSpPr/>
      </xdr:nvSpPr>
      <xdr:spPr>
        <a:xfrm>
          <a:off x="6627" y="4705184"/>
          <a:ext cx="1654534" cy="250135"/>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novembre</a:t>
          </a:r>
        </a:p>
      </xdr:txBody>
    </xdr:sp>
    <xdr:clientData/>
  </xdr:twoCellAnchor>
  <xdr:twoCellAnchor>
    <xdr:from>
      <xdr:col>0</xdr:col>
      <xdr:colOff>0</xdr:colOff>
      <xdr:row>24</xdr:row>
      <xdr:rowOff>24516</xdr:rowOff>
    </xdr:from>
    <xdr:to>
      <xdr:col>1</xdr:col>
      <xdr:colOff>18876</xdr:colOff>
      <xdr:row>25</xdr:row>
      <xdr:rowOff>93428</xdr:rowOff>
    </xdr:to>
    <xdr:sp macro="[0]!Rectangle21_Click" textlink="">
      <xdr:nvSpPr>
        <xdr:cNvPr id="22" name="Rectangle 21">
          <a:extLst>
            <a:ext uri="{FF2B5EF4-FFF2-40B4-BE49-F238E27FC236}">
              <a16:creationId xmlns:a16="http://schemas.microsoft.com/office/drawing/2014/main" id="{CCBF7308-7B8E-43B4-96DA-F87A1B3BA8BB}"/>
            </a:ext>
          </a:extLst>
        </xdr:cNvPr>
        <xdr:cNvSpPr/>
      </xdr:nvSpPr>
      <xdr:spPr>
        <a:xfrm>
          <a:off x="0" y="5061336"/>
          <a:ext cx="1672416" cy="251792"/>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a:solidFill>
                <a:sysClr val="windowText" lastClr="000000"/>
              </a:solidFill>
              <a:latin typeface="Montserrat ExtraBold" pitchFamily="2" charset="0"/>
            </a:rPr>
            <a:t>Décembre </a:t>
          </a:r>
        </a:p>
      </xdr:txBody>
    </xdr:sp>
    <xdr:clientData/>
  </xdr:twoCellAnchor>
  <xdr:twoCellAnchor>
    <xdr:from>
      <xdr:col>1</xdr:col>
      <xdr:colOff>7173</xdr:colOff>
      <xdr:row>6</xdr:row>
      <xdr:rowOff>156951</xdr:rowOff>
    </xdr:from>
    <xdr:to>
      <xdr:col>1</xdr:col>
      <xdr:colOff>331694</xdr:colOff>
      <xdr:row>6</xdr:row>
      <xdr:rowOff>161365</xdr:rowOff>
    </xdr:to>
    <xdr:cxnSp macro="">
      <xdr:nvCxnSpPr>
        <xdr:cNvPr id="26" name="Straight Connector 25">
          <a:extLst>
            <a:ext uri="{FF2B5EF4-FFF2-40B4-BE49-F238E27FC236}">
              <a16:creationId xmlns:a16="http://schemas.microsoft.com/office/drawing/2014/main" id="{543F343F-C52F-4D59-93EE-DDE5DFF1B82C}"/>
            </a:ext>
          </a:extLst>
        </xdr:cNvPr>
        <xdr:cNvCxnSpPr/>
      </xdr:nvCxnSpPr>
      <xdr:spPr>
        <a:xfrm>
          <a:off x="1661161" y="1340292"/>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322730</xdr:colOff>
      <xdr:row>6</xdr:row>
      <xdr:rowOff>80683</xdr:rowOff>
    </xdr:from>
    <xdr:to>
      <xdr:col>1</xdr:col>
      <xdr:colOff>425824</xdr:colOff>
      <xdr:row>6</xdr:row>
      <xdr:rowOff>161364</xdr:rowOff>
    </xdr:to>
    <xdr:cxnSp macro="">
      <xdr:nvCxnSpPr>
        <xdr:cNvPr id="27" name="Straight Connector 26">
          <a:extLst>
            <a:ext uri="{FF2B5EF4-FFF2-40B4-BE49-F238E27FC236}">
              <a16:creationId xmlns:a16="http://schemas.microsoft.com/office/drawing/2014/main" id="{99755790-951D-4F42-A9EA-D4A28C36C637}"/>
            </a:ext>
          </a:extLst>
        </xdr:cNvPr>
        <xdr:cNvCxnSpPr/>
      </xdr:nvCxnSpPr>
      <xdr:spPr>
        <a:xfrm flipV="1">
          <a:off x="1976718" y="1264024"/>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416859</xdr:colOff>
      <xdr:row>6</xdr:row>
      <xdr:rowOff>22412</xdr:rowOff>
    </xdr:from>
    <xdr:to>
      <xdr:col>1</xdr:col>
      <xdr:colOff>484094</xdr:colOff>
      <xdr:row>6</xdr:row>
      <xdr:rowOff>85165</xdr:rowOff>
    </xdr:to>
    <xdr:sp macro="" textlink="">
      <xdr:nvSpPr>
        <xdr:cNvPr id="29" name="Flowchart: Connector 28">
          <a:extLst>
            <a:ext uri="{FF2B5EF4-FFF2-40B4-BE49-F238E27FC236}">
              <a16:creationId xmlns:a16="http://schemas.microsoft.com/office/drawing/2014/main" id="{9B2D59B0-2465-4E37-B26A-744E88BBBE6A}"/>
            </a:ext>
          </a:extLst>
        </xdr:cNvPr>
        <xdr:cNvSpPr/>
      </xdr:nvSpPr>
      <xdr:spPr>
        <a:xfrm>
          <a:off x="2070847" y="1205753"/>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7173</xdr:colOff>
      <xdr:row>8</xdr:row>
      <xdr:rowOff>121781</xdr:rowOff>
    </xdr:from>
    <xdr:to>
      <xdr:col>1</xdr:col>
      <xdr:colOff>331694</xdr:colOff>
      <xdr:row>8</xdr:row>
      <xdr:rowOff>126195</xdr:rowOff>
    </xdr:to>
    <xdr:cxnSp macro="">
      <xdr:nvCxnSpPr>
        <xdr:cNvPr id="25" name="Straight Connector 24">
          <a:extLst>
            <a:ext uri="{FF2B5EF4-FFF2-40B4-BE49-F238E27FC236}">
              <a16:creationId xmlns:a16="http://schemas.microsoft.com/office/drawing/2014/main" id="{48F2BB1C-B2C4-4CE3-8301-45B455177FB9}"/>
            </a:ext>
          </a:extLst>
        </xdr:cNvPr>
        <xdr:cNvCxnSpPr/>
      </xdr:nvCxnSpPr>
      <xdr:spPr>
        <a:xfrm>
          <a:off x="1660127" y="1675089"/>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322730</xdr:colOff>
      <xdr:row>8</xdr:row>
      <xdr:rowOff>45513</xdr:rowOff>
    </xdr:from>
    <xdr:to>
      <xdr:col>1</xdr:col>
      <xdr:colOff>425824</xdr:colOff>
      <xdr:row>8</xdr:row>
      <xdr:rowOff>126194</xdr:rowOff>
    </xdr:to>
    <xdr:cxnSp macro="">
      <xdr:nvCxnSpPr>
        <xdr:cNvPr id="28" name="Straight Connector 27">
          <a:extLst>
            <a:ext uri="{FF2B5EF4-FFF2-40B4-BE49-F238E27FC236}">
              <a16:creationId xmlns:a16="http://schemas.microsoft.com/office/drawing/2014/main" id="{F10E8419-8CED-4C6D-A75B-1D2A5B2CB915}"/>
            </a:ext>
          </a:extLst>
        </xdr:cNvPr>
        <xdr:cNvCxnSpPr/>
      </xdr:nvCxnSpPr>
      <xdr:spPr>
        <a:xfrm flipV="1">
          <a:off x="1975684" y="1598821"/>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416859</xdr:colOff>
      <xdr:row>7</xdr:row>
      <xdr:rowOff>180673</xdr:rowOff>
    </xdr:from>
    <xdr:to>
      <xdr:col>1</xdr:col>
      <xdr:colOff>484094</xdr:colOff>
      <xdr:row>8</xdr:row>
      <xdr:rowOff>49995</xdr:rowOff>
    </xdr:to>
    <xdr:sp macro="" textlink="">
      <xdr:nvSpPr>
        <xdr:cNvPr id="30" name="Flowchart: Connector 29">
          <a:extLst>
            <a:ext uri="{FF2B5EF4-FFF2-40B4-BE49-F238E27FC236}">
              <a16:creationId xmlns:a16="http://schemas.microsoft.com/office/drawing/2014/main" id="{AF2261F0-E1A2-49E2-A962-8A59FA758414}"/>
            </a:ext>
          </a:extLst>
        </xdr:cNvPr>
        <xdr:cNvSpPr/>
      </xdr:nvSpPr>
      <xdr:spPr>
        <a:xfrm>
          <a:off x="2069813" y="1540550"/>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13032</xdr:colOff>
      <xdr:row>8</xdr:row>
      <xdr:rowOff>473478</xdr:rowOff>
    </xdr:from>
    <xdr:to>
      <xdr:col>1</xdr:col>
      <xdr:colOff>337553</xdr:colOff>
      <xdr:row>8</xdr:row>
      <xdr:rowOff>477892</xdr:rowOff>
    </xdr:to>
    <xdr:cxnSp macro="">
      <xdr:nvCxnSpPr>
        <xdr:cNvPr id="31" name="Straight Connector 30">
          <a:extLst>
            <a:ext uri="{FF2B5EF4-FFF2-40B4-BE49-F238E27FC236}">
              <a16:creationId xmlns:a16="http://schemas.microsoft.com/office/drawing/2014/main" id="{EB1D4AA4-AB7D-4BFE-90C6-0A1C9A7C8F71}"/>
            </a:ext>
          </a:extLst>
        </xdr:cNvPr>
        <xdr:cNvCxnSpPr/>
      </xdr:nvCxnSpPr>
      <xdr:spPr>
        <a:xfrm>
          <a:off x="1665986" y="2026786"/>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328589</xdr:colOff>
      <xdr:row>8</xdr:row>
      <xdr:rowOff>397210</xdr:rowOff>
    </xdr:from>
    <xdr:to>
      <xdr:col>1</xdr:col>
      <xdr:colOff>431683</xdr:colOff>
      <xdr:row>8</xdr:row>
      <xdr:rowOff>477891</xdr:rowOff>
    </xdr:to>
    <xdr:cxnSp macro="">
      <xdr:nvCxnSpPr>
        <xdr:cNvPr id="32" name="Straight Connector 31">
          <a:extLst>
            <a:ext uri="{FF2B5EF4-FFF2-40B4-BE49-F238E27FC236}">
              <a16:creationId xmlns:a16="http://schemas.microsoft.com/office/drawing/2014/main" id="{6291D04D-9D3A-47F9-AB12-FD28374AA2A7}"/>
            </a:ext>
          </a:extLst>
        </xdr:cNvPr>
        <xdr:cNvCxnSpPr/>
      </xdr:nvCxnSpPr>
      <xdr:spPr>
        <a:xfrm flipV="1">
          <a:off x="1981543" y="1950518"/>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422718</xdr:colOff>
      <xdr:row>8</xdr:row>
      <xdr:rowOff>338939</xdr:rowOff>
    </xdr:from>
    <xdr:to>
      <xdr:col>1</xdr:col>
      <xdr:colOff>489953</xdr:colOff>
      <xdr:row>8</xdr:row>
      <xdr:rowOff>401692</xdr:rowOff>
    </xdr:to>
    <xdr:sp macro="" textlink="">
      <xdr:nvSpPr>
        <xdr:cNvPr id="33" name="Flowchart: Connector 32">
          <a:extLst>
            <a:ext uri="{FF2B5EF4-FFF2-40B4-BE49-F238E27FC236}">
              <a16:creationId xmlns:a16="http://schemas.microsoft.com/office/drawing/2014/main" id="{1C27DB3C-3FC3-4005-A8AC-4B5AD26CD70A}"/>
            </a:ext>
          </a:extLst>
        </xdr:cNvPr>
        <xdr:cNvSpPr/>
      </xdr:nvSpPr>
      <xdr:spPr>
        <a:xfrm>
          <a:off x="2075672" y="1892247"/>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18891</xdr:colOff>
      <xdr:row>9</xdr:row>
      <xdr:rowOff>180403</xdr:rowOff>
    </xdr:from>
    <xdr:to>
      <xdr:col>1</xdr:col>
      <xdr:colOff>343412</xdr:colOff>
      <xdr:row>9</xdr:row>
      <xdr:rowOff>184817</xdr:rowOff>
    </xdr:to>
    <xdr:cxnSp macro="">
      <xdr:nvCxnSpPr>
        <xdr:cNvPr id="34" name="Straight Connector 33">
          <a:extLst>
            <a:ext uri="{FF2B5EF4-FFF2-40B4-BE49-F238E27FC236}">
              <a16:creationId xmlns:a16="http://schemas.microsoft.com/office/drawing/2014/main" id="{E672FC5E-95BA-44B3-B455-3D46D4D31D6E}"/>
            </a:ext>
          </a:extLst>
        </xdr:cNvPr>
        <xdr:cNvCxnSpPr/>
      </xdr:nvCxnSpPr>
      <xdr:spPr>
        <a:xfrm>
          <a:off x="1671845" y="2343311"/>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334448</xdr:colOff>
      <xdr:row>9</xdr:row>
      <xdr:rowOff>104135</xdr:rowOff>
    </xdr:from>
    <xdr:to>
      <xdr:col>1</xdr:col>
      <xdr:colOff>437542</xdr:colOff>
      <xdr:row>9</xdr:row>
      <xdr:rowOff>184816</xdr:rowOff>
    </xdr:to>
    <xdr:cxnSp macro="">
      <xdr:nvCxnSpPr>
        <xdr:cNvPr id="35" name="Straight Connector 34">
          <a:extLst>
            <a:ext uri="{FF2B5EF4-FFF2-40B4-BE49-F238E27FC236}">
              <a16:creationId xmlns:a16="http://schemas.microsoft.com/office/drawing/2014/main" id="{44DE7569-9935-492A-98F9-F71A8FC9B61A}"/>
            </a:ext>
          </a:extLst>
        </xdr:cNvPr>
        <xdr:cNvCxnSpPr/>
      </xdr:nvCxnSpPr>
      <xdr:spPr>
        <a:xfrm flipV="1">
          <a:off x="1987402" y="2267043"/>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428577</xdr:colOff>
      <xdr:row>9</xdr:row>
      <xdr:rowOff>45864</xdr:rowOff>
    </xdr:from>
    <xdr:to>
      <xdr:col>1</xdr:col>
      <xdr:colOff>495812</xdr:colOff>
      <xdr:row>9</xdr:row>
      <xdr:rowOff>108617</xdr:rowOff>
    </xdr:to>
    <xdr:sp macro="" textlink="">
      <xdr:nvSpPr>
        <xdr:cNvPr id="36" name="Flowchart: Connector 35">
          <a:extLst>
            <a:ext uri="{FF2B5EF4-FFF2-40B4-BE49-F238E27FC236}">
              <a16:creationId xmlns:a16="http://schemas.microsoft.com/office/drawing/2014/main" id="{1E2222E5-4534-48E3-8913-6895B810DA2E}"/>
            </a:ext>
          </a:extLst>
        </xdr:cNvPr>
        <xdr:cNvSpPr/>
      </xdr:nvSpPr>
      <xdr:spPr>
        <a:xfrm>
          <a:off x="2081531" y="2208772"/>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24750</xdr:colOff>
      <xdr:row>11</xdr:row>
      <xdr:rowOff>98344</xdr:rowOff>
    </xdr:from>
    <xdr:to>
      <xdr:col>1</xdr:col>
      <xdr:colOff>349271</xdr:colOff>
      <xdr:row>11</xdr:row>
      <xdr:rowOff>102758</xdr:rowOff>
    </xdr:to>
    <xdr:cxnSp macro="">
      <xdr:nvCxnSpPr>
        <xdr:cNvPr id="37" name="Straight Connector 36">
          <a:extLst>
            <a:ext uri="{FF2B5EF4-FFF2-40B4-BE49-F238E27FC236}">
              <a16:creationId xmlns:a16="http://schemas.microsoft.com/office/drawing/2014/main" id="{5F10F745-AC69-415C-A34F-BCDBC8D78F26}"/>
            </a:ext>
          </a:extLst>
        </xdr:cNvPr>
        <xdr:cNvCxnSpPr/>
      </xdr:nvCxnSpPr>
      <xdr:spPr>
        <a:xfrm>
          <a:off x="1677704" y="2659836"/>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340307</xdr:colOff>
      <xdr:row>11</xdr:row>
      <xdr:rowOff>22076</xdr:rowOff>
    </xdr:from>
    <xdr:to>
      <xdr:col>1</xdr:col>
      <xdr:colOff>443401</xdr:colOff>
      <xdr:row>11</xdr:row>
      <xdr:rowOff>102757</xdr:rowOff>
    </xdr:to>
    <xdr:cxnSp macro="">
      <xdr:nvCxnSpPr>
        <xdr:cNvPr id="38" name="Straight Connector 37">
          <a:extLst>
            <a:ext uri="{FF2B5EF4-FFF2-40B4-BE49-F238E27FC236}">
              <a16:creationId xmlns:a16="http://schemas.microsoft.com/office/drawing/2014/main" id="{7FBF2B83-36FA-495B-9360-C6181960CE0D}"/>
            </a:ext>
          </a:extLst>
        </xdr:cNvPr>
        <xdr:cNvCxnSpPr/>
      </xdr:nvCxnSpPr>
      <xdr:spPr>
        <a:xfrm flipV="1">
          <a:off x="1993261" y="2583568"/>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434436</xdr:colOff>
      <xdr:row>10</xdr:row>
      <xdr:rowOff>163097</xdr:rowOff>
    </xdr:from>
    <xdr:to>
      <xdr:col>1</xdr:col>
      <xdr:colOff>501671</xdr:colOff>
      <xdr:row>11</xdr:row>
      <xdr:rowOff>26558</xdr:rowOff>
    </xdr:to>
    <xdr:sp macro="" textlink="">
      <xdr:nvSpPr>
        <xdr:cNvPr id="39" name="Flowchart: Connector 38">
          <a:extLst>
            <a:ext uri="{FF2B5EF4-FFF2-40B4-BE49-F238E27FC236}">
              <a16:creationId xmlns:a16="http://schemas.microsoft.com/office/drawing/2014/main" id="{B1A97437-D5E0-4054-AC8A-3CECDD94F5AD}"/>
            </a:ext>
          </a:extLst>
        </xdr:cNvPr>
        <xdr:cNvSpPr/>
      </xdr:nvSpPr>
      <xdr:spPr>
        <a:xfrm>
          <a:off x="2087390" y="2525297"/>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30609</xdr:colOff>
      <xdr:row>13</xdr:row>
      <xdr:rowOff>69042</xdr:rowOff>
    </xdr:from>
    <xdr:to>
      <xdr:col>1</xdr:col>
      <xdr:colOff>355130</xdr:colOff>
      <xdr:row>13</xdr:row>
      <xdr:rowOff>73456</xdr:rowOff>
    </xdr:to>
    <xdr:cxnSp macro="">
      <xdr:nvCxnSpPr>
        <xdr:cNvPr id="40" name="Straight Connector 39">
          <a:extLst>
            <a:ext uri="{FF2B5EF4-FFF2-40B4-BE49-F238E27FC236}">
              <a16:creationId xmlns:a16="http://schemas.microsoft.com/office/drawing/2014/main" id="{474EA023-2A9B-4EE2-8081-BB60AC67A9FC}"/>
            </a:ext>
          </a:extLst>
        </xdr:cNvPr>
        <xdr:cNvCxnSpPr/>
      </xdr:nvCxnSpPr>
      <xdr:spPr>
        <a:xfrm>
          <a:off x="1683563" y="3023257"/>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346166</xdr:colOff>
      <xdr:row>12</xdr:row>
      <xdr:rowOff>186204</xdr:rowOff>
    </xdr:from>
    <xdr:to>
      <xdr:col>1</xdr:col>
      <xdr:colOff>449260</xdr:colOff>
      <xdr:row>13</xdr:row>
      <xdr:rowOff>73455</xdr:rowOff>
    </xdr:to>
    <xdr:cxnSp macro="">
      <xdr:nvCxnSpPr>
        <xdr:cNvPr id="42" name="Straight Connector 41">
          <a:extLst>
            <a:ext uri="{FF2B5EF4-FFF2-40B4-BE49-F238E27FC236}">
              <a16:creationId xmlns:a16="http://schemas.microsoft.com/office/drawing/2014/main" id="{CC1F4732-6025-4374-B0EC-378D47508E5E}"/>
            </a:ext>
          </a:extLst>
        </xdr:cNvPr>
        <xdr:cNvCxnSpPr/>
      </xdr:nvCxnSpPr>
      <xdr:spPr>
        <a:xfrm flipV="1">
          <a:off x="1999120" y="2946989"/>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440295</xdr:colOff>
      <xdr:row>12</xdr:row>
      <xdr:rowOff>127933</xdr:rowOff>
    </xdr:from>
    <xdr:to>
      <xdr:col>1</xdr:col>
      <xdr:colOff>507530</xdr:colOff>
      <xdr:row>12</xdr:row>
      <xdr:rowOff>190686</xdr:rowOff>
    </xdr:to>
    <xdr:sp macro="" textlink="">
      <xdr:nvSpPr>
        <xdr:cNvPr id="44" name="Flowchart: Connector 43">
          <a:extLst>
            <a:ext uri="{FF2B5EF4-FFF2-40B4-BE49-F238E27FC236}">
              <a16:creationId xmlns:a16="http://schemas.microsoft.com/office/drawing/2014/main" id="{340F5E37-3344-4B9A-BFC7-5A610940A9BA}"/>
            </a:ext>
          </a:extLst>
        </xdr:cNvPr>
        <xdr:cNvSpPr/>
      </xdr:nvSpPr>
      <xdr:spPr>
        <a:xfrm>
          <a:off x="2093249" y="2888718"/>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36468</xdr:colOff>
      <xdr:row>15</xdr:row>
      <xdr:rowOff>69047</xdr:rowOff>
    </xdr:from>
    <xdr:to>
      <xdr:col>1</xdr:col>
      <xdr:colOff>360989</xdr:colOff>
      <xdr:row>15</xdr:row>
      <xdr:rowOff>73461</xdr:rowOff>
    </xdr:to>
    <xdr:cxnSp macro="">
      <xdr:nvCxnSpPr>
        <xdr:cNvPr id="45" name="Straight Connector 44">
          <a:extLst>
            <a:ext uri="{FF2B5EF4-FFF2-40B4-BE49-F238E27FC236}">
              <a16:creationId xmlns:a16="http://schemas.microsoft.com/office/drawing/2014/main" id="{12922F85-15B7-4953-98C0-823A476C93B2}"/>
            </a:ext>
          </a:extLst>
        </xdr:cNvPr>
        <xdr:cNvCxnSpPr/>
      </xdr:nvCxnSpPr>
      <xdr:spPr>
        <a:xfrm>
          <a:off x="1689422" y="3386678"/>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352025</xdr:colOff>
      <xdr:row>14</xdr:row>
      <xdr:rowOff>174487</xdr:rowOff>
    </xdr:from>
    <xdr:to>
      <xdr:col>1</xdr:col>
      <xdr:colOff>455119</xdr:colOff>
      <xdr:row>15</xdr:row>
      <xdr:rowOff>73460</xdr:rowOff>
    </xdr:to>
    <xdr:cxnSp macro="">
      <xdr:nvCxnSpPr>
        <xdr:cNvPr id="46" name="Straight Connector 45">
          <a:extLst>
            <a:ext uri="{FF2B5EF4-FFF2-40B4-BE49-F238E27FC236}">
              <a16:creationId xmlns:a16="http://schemas.microsoft.com/office/drawing/2014/main" id="{17D0E08B-1114-497A-98AA-EDD6F549DE1E}"/>
            </a:ext>
          </a:extLst>
        </xdr:cNvPr>
        <xdr:cNvCxnSpPr/>
      </xdr:nvCxnSpPr>
      <xdr:spPr>
        <a:xfrm flipV="1">
          <a:off x="2004979" y="3310410"/>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446154</xdr:colOff>
      <xdr:row>14</xdr:row>
      <xdr:rowOff>116216</xdr:rowOff>
    </xdr:from>
    <xdr:to>
      <xdr:col>1</xdr:col>
      <xdr:colOff>513389</xdr:colOff>
      <xdr:row>14</xdr:row>
      <xdr:rowOff>178969</xdr:rowOff>
    </xdr:to>
    <xdr:sp macro="" textlink="">
      <xdr:nvSpPr>
        <xdr:cNvPr id="47" name="Flowchart: Connector 46">
          <a:extLst>
            <a:ext uri="{FF2B5EF4-FFF2-40B4-BE49-F238E27FC236}">
              <a16:creationId xmlns:a16="http://schemas.microsoft.com/office/drawing/2014/main" id="{692F2636-4351-4798-B637-80DD7A5AF4B4}"/>
            </a:ext>
          </a:extLst>
        </xdr:cNvPr>
        <xdr:cNvSpPr/>
      </xdr:nvSpPr>
      <xdr:spPr>
        <a:xfrm>
          <a:off x="2099108" y="3252139"/>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42327</xdr:colOff>
      <xdr:row>17</xdr:row>
      <xdr:rowOff>51467</xdr:rowOff>
    </xdr:from>
    <xdr:to>
      <xdr:col>1</xdr:col>
      <xdr:colOff>366848</xdr:colOff>
      <xdr:row>17</xdr:row>
      <xdr:rowOff>55881</xdr:rowOff>
    </xdr:to>
    <xdr:cxnSp macro="">
      <xdr:nvCxnSpPr>
        <xdr:cNvPr id="48" name="Straight Connector 47">
          <a:extLst>
            <a:ext uri="{FF2B5EF4-FFF2-40B4-BE49-F238E27FC236}">
              <a16:creationId xmlns:a16="http://schemas.microsoft.com/office/drawing/2014/main" id="{6CB83525-2D46-4CE2-8B0E-A6B939A46F47}"/>
            </a:ext>
          </a:extLst>
        </xdr:cNvPr>
        <xdr:cNvCxnSpPr/>
      </xdr:nvCxnSpPr>
      <xdr:spPr>
        <a:xfrm>
          <a:off x="1695281" y="3732513"/>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357884</xdr:colOff>
      <xdr:row>16</xdr:row>
      <xdr:rowOff>156907</xdr:rowOff>
    </xdr:from>
    <xdr:to>
      <xdr:col>1</xdr:col>
      <xdr:colOff>460978</xdr:colOff>
      <xdr:row>17</xdr:row>
      <xdr:rowOff>55880</xdr:rowOff>
    </xdr:to>
    <xdr:cxnSp macro="">
      <xdr:nvCxnSpPr>
        <xdr:cNvPr id="49" name="Straight Connector 48">
          <a:extLst>
            <a:ext uri="{FF2B5EF4-FFF2-40B4-BE49-F238E27FC236}">
              <a16:creationId xmlns:a16="http://schemas.microsoft.com/office/drawing/2014/main" id="{71B93BD2-BF70-4A52-A145-A4EC8707FC34}"/>
            </a:ext>
          </a:extLst>
        </xdr:cNvPr>
        <xdr:cNvCxnSpPr/>
      </xdr:nvCxnSpPr>
      <xdr:spPr>
        <a:xfrm flipV="1">
          <a:off x="2010838" y="3656245"/>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452013</xdr:colOff>
      <xdr:row>16</xdr:row>
      <xdr:rowOff>98636</xdr:rowOff>
    </xdr:from>
    <xdr:to>
      <xdr:col>1</xdr:col>
      <xdr:colOff>519248</xdr:colOff>
      <xdr:row>16</xdr:row>
      <xdr:rowOff>161389</xdr:rowOff>
    </xdr:to>
    <xdr:sp macro="" textlink="">
      <xdr:nvSpPr>
        <xdr:cNvPr id="50" name="Flowchart: Connector 49">
          <a:extLst>
            <a:ext uri="{FF2B5EF4-FFF2-40B4-BE49-F238E27FC236}">
              <a16:creationId xmlns:a16="http://schemas.microsoft.com/office/drawing/2014/main" id="{5679CEE7-EECF-492F-AF30-A1BCDD6D49F3}"/>
            </a:ext>
          </a:extLst>
        </xdr:cNvPr>
        <xdr:cNvSpPr/>
      </xdr:nvSpPr>
      <xdr:spPr>
        <a:xfrm>
          <a:off x="2104967" y="3597974"/>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48186</xdr:colOff>
      <xdr:row>19</xdr:row>
      <xdr:rowOff>28024</xdr:rowOff>
    </xdr:from>
    <xdr:to>
      <xdr:col>1</xdr:col>
      <xdr:colOff>372707</xdr:colOff>
      <xdr:row>19</xdr:row>
      <xdr:rowOff>32438</xdr:rowOff>
    </xdr:to>
    <xdr:cxnSp macro="">
      <xdr:nvCxnSpPr>
        <xdr:cNvPr id="51" name="Straight Connector 50">
          <a:extLst>
            <a:ext uri="{FF2B5EF4-FFF2-40B4-BE49-F238E27FC236}">
              <a16:creationId xmlns:a16="http://schemas.microsoft.com/office/drawing/2014/main" id="{0A0ED71F-E89F-416C-9E08-26B44B9EBC3F}"/>
            </a:ext>
          </a:extLst>
        </xdr:cNvPr>
        <xdr:cNvCxnSpPr/>
      </xdr:nvCxnSpPr>
      <xdr:spPr>
        <a:xfrm>
          <a:off x="1701140" y="4072486"/>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363743</xdr:colOff>
      <xdr:row>18</xdr:row>
      <xdr:rowOff>133464</xdr:rowOff>
    </xdr:from>
    <xdr:to>
      <xdr:col>1</xdr:col>
      <xdr:colOff>466837</xdr:colOff>
      <xdr:row>19</xdr:row>
      <xdr:rowOff>32437</xdr:rowOff>
    </xdr:to>
    <xdr:cxnSp macro="">
      <xdr:nvCxnSpPr>
        <xdr:cNvPr id="52" name="Straight Connector 51">
          <a:extLst>
            <a:ext uri="{FF2B5EF4-FFF2-40B4-BE49-F238E27FC236}">
              <a16:creationId xmlns:a16="http://schemas.microsoft.com/office/drawing/2014/main" id="{B60AA2FE-1E67-4FA6-9D66-CD5911C170E4}"/>
            </a:ext>
          </a:extLst>
        </xdr:cNvPr>
        <xdr:cNvCxnSpPr/>
      </xdr:nvCxnSpPr>
      <xdr:spPr>
        <a:xfrm flipV="1">
          <a:off x="2016697" y="3996218"/>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457872</xdr:colOff>
      <xdr:row>18</xdr:row>
      <xdr:rowOff>75193</xdr:rowOff>
    </xdr:from>
    <xdr:to>
      <xdr:col>1</xdr:col>
      <xdr:colOff>525107</xdr:colOff>
      <xdr:row>18</xdr:row>
      <xdr:rowOff>137946</xdr:rowOff>
    </xdr:to>
    <xdr:sp macro="" textlink="">
      <xdr:nvSpPr>
        <xdr:cNvPr id="53" name="Flowchart: Connector 52">
          <a:extLst>
            <a:ext uri="{FF2B5EF4-FFF2-40B4-BE49-F238E27FC236}">
              <a16:creationId xmlns:a16="http://schemas.microsoft.com/office/drawing/2014/main" id="{CA9FAEC7-3CDF-4330-A14A-4A9FF285B2CF}"/>
            </a:ext>
          </a:extLst>
        </xdr:cNvPr>
        <xdr:cNvSpPr/>
      </xdr:nvSpPr>
      <xdr:spPr>
        <a:xfrm>
          <a:off x="2110826" y="3937947"/>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54045</xdr:colOff>
      <xdr:row>20</xdr:row>
      <xdr:rowOff>168704</xdr:rowOff>
    </xdr:from>
    <xdr:to>
      <xdr:col>1</xdr:col>
      <xdr:colOff>378566</xdr:colOff>
      <xdr:row>20</xdr:row>
      <xdr:rowOff>173118</xdr:rowOff>
    </xdr:to>
    <xdr:cxnSp macro="">
      <xdr:nvCxnSpPr>
        <xdr:cNvPr id="54" name="Straight Connector 53">
          <a:extLst>
            <a:ext uri="{FF2B5EF4-FFF2-40B4-BE49-F238E27FC236}">
              <a16:creationId xmlns:a16="http://schemas.microsoft.com/office/drawing/2014/main" id="{47C28BF3-3A83-408C-AED0-DB2AE8211802}"/>
            </a:ext>
          </a:extLst>
        </xdr:cNvPr>
        <xdr:cNvCxnSpPr/>
      </xdr:nvCxnSpPr>
      <xdr:spPr>
        <a:xfrm>
          <a:off x="1706999" y="4394873"/>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369602</xdr:colOff>
      <xdr:row>20</xdr:row>
      <xdr:rowOff>92436</xdr:rowOff>
    </xdr:from>
    <xdr:to>
      <xdr:col>1</xdr:col>
      <xdr:colOff>472696</xdr:colOff>
      <xdr:row>20</xdr:row>
      <xdr:rowOff>173117</xdr:rowOff>
    </xdr:to>
    <xdr:cxnSp macro="">
      <xdr:nvCxnSpPr>
        <xdr:cNvPr id="55" name="Straight Connector 54">
          <a:extLst>
            <a:ext uri="{FF2B5EF4-FFF2-40B4-BE49-F238E27FC236}">
              <a16:creationId xmlns:a16="http://schemas.microsoft.com/office/drawing/2014/main" id="{80580B08-30F4-43FE-B14F-AA5B7B348BF7}"/>
            </a:ext>
          </a:extLst>
        </xdr:cNvPr>
        <xdr:cNvCxnSpPr/>
      </xdr:nvCxnSpPr>
      <xdr:spPr>
        <a:xfrm flipV="1">
          <a:off x="2022556" y="4318605"/>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463731</xdr:colOff>
      <xdr:row>20</xdr:row>
      <xdr:rowOff>34165</xdr:rowOff>
    </xdr:from>
    <xdr:to>
      <xdr:col>1</xdr:col>
      <xdr:colOff>530966</xdr:colOff>
      <xdr:row>20</xdr:row>
      <xdr:rowOff>96918</xdr:rowOff>
    </xdr:to>
    <xdr:sp macro="" textlink="">
      <xdr:nvSpPr>
        <xdr:cNvPr id="56" name="Flowchart: Connector 55">
          <a:extLst>
            <a:ext uri="{FF2B5EF4-FFF2-40B4-BE49-F238E27FC236}">
              <a16:creationId xmlns:a16="http://schemas.microsoft.com/office/drawing/2014/main" id="{088DFE9B-B79D-4ECC-AE0C-84B0DCA9DB68}"/>
            </a:ext>
          </a:extLst>
        </xdr:cNvPr>
        <xdr:cNvSpPr/>
      </xdr:nvSpPr>
      <xdr:spPr>
        <a:xfrm>
          <a:off x="2116685" y="4260334"/>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59904</xdr:colOff>
      <xdr:row>22</xdr:row>
      <xdr:rowOff>156985</xdr:rowOff>
    </xdr:from>
    <xdr:to>
      <xdr:col>1</xdr:col>
      <xdr:colOff>384425</xdr:colOff>
      <xdr:row>22</xdr:row>
      <xdr:rowOff>161399</xdr:rowOff>
    </xdr:to>
    <xdr:cxnSp macro="">
      <xdr:nvCxnSpPr>
        <xdr:cNvPr id="57" name="Straight Connector 56">
          <a:extLst>
            <a:ext uri="{FF2B5EF4-FFF2-40B4-BE49-F238E27FC236}">
              <a16:creationId xmlns:a16="http://schemas.microsoft.com/office/drawing/2014/main" id="{6EEAF95A-8DC2-4868-8651-83DD9C0B28DF}"/>
            </a:ext>
          </a:extLst>
        </xdr:cNvPr>
        <xdr:cNvCxnSpPr/>
      </xdr:nvCxnSpPr>
      <xdr:spPr>
        <a:xfrm>
          <a:off x="1712858" y="4746570"/>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375461</xdr:colOff>
      <xdr:row>22</xdr:row>
      <xdr:rowOff>80717</xdr:rowOff>
    </xdr:from>
    <xdr:to>
      <xdr:col>1</xdr:col>
      <xdr:colOff>478555</xdr:colOff>
      <xdr:row>22</xdr:row>
      <xdr:rowOff>161398</xdr:rowOff>
    </xdr:to>
    <xdr:cxnSp macro="">
      <xdr:nvCxnSpPr>
        <xdr:cNvPr id="58" name="Straight Connector 57">
          <a:extLst>
            <a:ext uri="{FF2B5EF4-FFF2-40B4-BE49-F238E27FC236}">
              <a16:creationId xmlns:a16="http://schemas.microsoft.com/office/drawing/2014/main" id="{55CC84D6-4885-453A-A02C-2DB7A65CA3B9}"/>
            </a:ext>
          </a:extLst>
        </xdr:cNvPr>
        <xdr:cNvCxnSpPr/>
      </xdr:nvCxnSpPr>
      <xdr:spPr>
        <a:xfrm flipV="1">
          <a:off x="2028415" y="4670302"/>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469590</xdr:colOff>
      <xdr:row>22</xdr:row>
      <xdr:rowOff>22446</xdr:rowOff>
    </xdr:from>
    <xdr:to>
      <xdr:col>1</xdr:col>
      <xdr:colOff>536825</xdr:colOff>
      <xdr:row>22</xdr:row>
      <xdr:rowOff>85199</xdr:rowOff>
    </xdr:to>
    <xdr:sp macro="" textlink="">
      <xdr:nvSpPr>
        <xdr:cNvPr id="59" name="Flowchart: Connector 58">
          <a:extLst>
            <a:ext uri="{FF2B5EF4-FFF2-40B4-BE49-F238E27FC236}">
              <a16:creationId xmlns:a16="http://schemas.microsoft.com/office/drawing/2014/main" id="{D4940328-C94D-47EC-AB17-1E7D859E4BA4}"/>
            </a:ext>
          </a:extLst>
        </xdr:cNvPr>
        <xdr:cNvSpPr/>
      </xdr:nvSpPr>
      <xdr:spPr>
        <a:xfrm>
          <a:off x="2122544" y="4612031"/>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65763</xdr:colOff>
      <xdr:row>24</xdr:row>
      <xdr:rowOff>145267</xdr:rowOff>
    </xdr:from>
    <xdr:to>
      <xdr:col>1</xdr:col>
      <xdr:colOff>390284</xdr:colOff>
      <xdr:row>24</xdr:row>
      <xdr:rowOff>149681</xdr:rowOff>
    </xdr:to>
    <xdr:cxnSp macro="">
      <xdr:nvCxnSpPr>
        <xdr:cNvPr id="60" name="Straight Connector 59">
          <a:extLst>
            <a:ext uri="{FF2B5EF4-FFF2-40B4-BE49-F238E27FC236}">
              <a16:creationId xmlns:a16="http://schemas.microsoft.com/office/drawing/2014/main" id="{7496802A-F43A-4F66-9CDF-146504803260}"/>
            </a:ext>
          </a:extLst>
        </xdr:cNvPr>
        <xdr:cNvCxnSpPr/>
      </xdr:nvCxnSpPr>
      <xdr:spPr>
        <a:xfrm>
          <a:off x="1718717" y="5098267"/>
          <a:ext cx="324521" cy="4414"/>
        </a:xfrm>
        <a:prstGeom prst="line">
          <a:avLst/>
        </a:prstGeom>
        <a:ln w="952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381320</xdr:colOff>
      <xdr:row>24</xdr:row>
      <xdr:rowOff>68999</xdr:rowOff>
    </xdr:from>
    <xdr:to>
      <xdr:col>1</xdr:col>
      <xdr:colOff>484414</xdr:colOff>
      <xdr:row>24</xdr:row>
      <xdr:rowOff>149680</xdr:rowOff>
    </xdr:to>
    <xdr:cxnSp macro="">
      <xdr:nvCxnSpPr>
        <xdr:cNvPr id="61" name="Straight Connector 60">
          <a:extLst>
            <a:ext uri="{FF2B5EF4-FFF2-40B4-BE49-F238E27FC236}">
              <a16:creationId xmlns:a16="http://schemas.microsoft.com/office/drawing/2014/main" id="{BC730FD8-24F6-4D1A-A7EC-36F89DB1D0EE}"/>
            </a:ext>
          </a:extLst>
        </xdr:cNvPr>
        <xdr:cNvCxnSpPr/>
      </xdr:nvCxnSpPr>
      <xdr:spPr>
        <a:xfrm flipV="1">
          <a:off x="2034274" y="5021999"/>
          <a:ext cx="103094" cy="80681"/>
        </a:xfrm>
        <a:prstGeom prst="line">
          <a:avLst/>
        </a:prstGeom>
        <a:ln w="9525">
          <a:solidFill>
            <a:schemeClr val="tx1">
              <a:lumMod val="95000"/>
              <a:lumOff val="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475449</xdr:colOff>
      <xdr:row>24</xdr:row>
      <xdr:rowOff>10728</xdr:rowOff>
    </xdr:from>
    <xdr:to>
      <xdr:col>1</xdr:col>
      <xdr:colOff>542684</xdr:colOff>
      <xdr:row>24</xdr:row>
      <xdr:rowOff>73481</xdr:rowOff>
    </xdr:to>
    <xdr:sp macro="" textlink="">
      <xdr:nvSpPr>
        <xdr:cNvPr id="62" name="Flowchart: Connector 61">
          <a:extLst>
            <a:ext uri="{FF2B5EF4-FFF2-40B4-BE49-F238E27FC236}">
              <a16:creationId xmlns:a16="http://schemas.microsoft.com/office/drawing/2014/main" id="{FCEE2762-BCD4-4B70-A526-8CF89BD4F196}"/>
            </a:ext>
          </a:extLst>
        </xdr:cNvPr>
        <xdr:cNvSpPr/>
      </xdr:nvSpPr>
      <xdr:spPr>
        <a:xfrm>
          <a:off x="2128403" y="4963728"/>
          <a:ext cx="67235" cy="62753"/>
        </a:xfrm>
        <a:prstGeom prst="flowChartConnector">
          <a:avLst/>
        </a:prstGeom>
        <a:solidFill>
          <a:schemeClr val="bg1"/>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oneCell">
    <xdr:from>
      <xdr:col>8</xdr:col>
      <xdr:colOff>86142</xdr:colOff>
      <xdr:row>1</xdr:row>
      <xdr:rowOff>59634</xdr:rowOff>
    </xdr:from>
    <xdr:to>
      <xdr:col>10</xdr:col>
      <xdr:colOff>13253</xdr:colOff>
      <xdr:row>3</xdr:row>
      <xdr:rowOff>106014</xdr:rowOff>
    </xdr:to>
    <xdr:pic>
      <xdr:nvPicPr>
        <xdr:cNvPr id="9" name="Graphic 8" descr="Stopwatch with solid fill">
          <a:extLst>
            <a:ext uri="{FF2B5EF4-FFF2-40B4-BE49-F238E27FC236}">
              <a16:creationId xmlns:a16="http://schemas.microsoft.com/office/drawing/2014/main" id="{8FEFD6B6-6134-46FA-BB9A-9585189AC78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2003" y="278295"/>
          <a:ext cx="417441" cy="4174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228600</xdr:colOff>
      <xdr:row>3</xdr:row>
      <xdr:rowOff>194310</xdr:rowOff>
    </xdr:from>
    <xdr:to>
      <xdr:col>15</xdr:col>
      <xdr:colOff>541020</xdr:colOff>
      <xdr:row>12</xdr:row>
      <xdr:rowOff>15240</xdr:rowOff>
    </xdr:to>
    <xdr:graphicFrame macro="">
      <xdr:nvGraphicFramePr>
        <xdr:cNvPr id="4" name="Chart 3">
          <a:extLst>
            <a:ext uri="{FF2B5EF4-FFF2-40B4-BE49-F238E27FC236}">
              <a16:creationId xmlns:a16="http://schemas.microsoft.com/office/drawing/2014/main" id="{545380CD-6F26-437A-ACEA-945A3CF468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9464</xdr:colOff>
      <xdr:row>12</xdr:row>
      <xdr:rowOff>175118</xdr:rowOff>
    </xdr:from>
    <xdr:to>
      <xdr:col>5</xdr:col>
      <xdr:colOff>94657</xdr:colOff>
      <xdr:row>12</xdr:row>
      <xdr:rowOff>260311</xdr:rowOff>
    </xdr:to>
    <xdr:pic>
      <xdr:nvPicPr>
        <xdr:cNvPr id="17" name="Picture 16">
          <a:hlinkClick xmlns:r="http://schemas.openxmlformats.org/officeDocument/2006/relationships" r:id="rId1" tooltip="Clicker pour choisir le genre"/>
          <a:extLst>
            <a:ext uri="{FF2B5EF4-FFF2-40B4-BE49-F238E27FC236}">
              <a16:creationId xmlns:a16="http://schemas.microsoft.com/office/drawing/2014/main" id="{DE77DD27-6CE2-4DD4-92F4-33A06C519C2F}"/>
            </a:ext>
          </a:extLst>
        </xdr:cNvPr>
        <xdr:cNvPicPr>
          <a:picLocks noChangeAspect="1"/>
        </xdr:cNvPicPr>
      </xdr:nvPicPr>
      <xdr:blipFill>
        <a:blip xmlns:r="http://schemas.openxmlformats.org/officeDocument/2006/relationships" r:embed="rId2"/>
        <a:stretch>
          <a:fillRect/>
        </a:stretch>
      </xdr:blipFill>
      <xdr:spPr>
        <a:xfrm>
          <a:off x="4699787" y="2811354"/>
          <a:ext cx="85193" cy="85193"/>
        </a:xfrm>
        <a:prstGeom prst="rect">
          <a:avLst/>
        </a:prstGeom>
      </xdr:spPr>
    </xdr:pic>
    <xdr:clientData/>
  </xdr:twoCellAnchor>
  <xdr:twoCellAnchor editAs="oneCell">
    <xdr:from>
      <xdr:col>7</xdr:col>
      <xdr:colOff>18929</xdr:colOff>
      <xdr:row>12</xdr:row>
      <xdr:rowOff>179851</xdr:rowOff>
    </xdr:from>
    <xdr:to>
      <xdr:col>7</xdr:col>
      <xdr:colOff>104122</xdr:colOff>
      <xdr:row>12</xdr:row>
      <xdr:rowOff>265044</xdr:rowOff>
    </xdr:to>
    <xdr:pic>
      <xdr:nvPicPr>
        <xdr:cNvPr id="18" name="Picture 17">
          <a:hlinkClick xmlns:r="http://schemas.openxmlformats.org/officeDocument/2006/relationships" r:id="rId3" tooltip="Clicker pour choisir la spiciality"/>
          <a:extLst>
            <a:ext uri="{FF2B5EF4-FFF2-40B4-BE49-F238E27FC236}">
              <a16:creationId xmlns:a16="http://schemas.microsoft.com/office/drawing/2014/main" id="{70CCF600-5C4F-40E7-A37A-9FE58A929D35}"/>
            </a:ext>
          </a:extLst>
        </xdr:cNvPr>
        <xdr:cNvPicPr>
          <a:picLocks noChangeAspect="1"/>
        </xdr:cNvPicPr>
      </xdr:nvPicPr>
      <xdr:blipFill>
        <a:blip xmlns:r="http://schemas.openxmlformats.org/officeDocument/2006/relationships" r:embed="rId2"/>
        <a:stretch>
          <a:fillRect/>
        </a:stretch>
      </xdr:blipFill>
      <xdr:spPr>
        <a:xfrm>
          <a:off x="7359687" y="2816087"/>
          <a:ext cx="85193" cy="85193"/>
        </a:xfrm>
        <a:prstGeom prst="rect">
          <a:avLst/>
        </a:prstGeom>
      </xdr:spPr>
    </xdr:pic>
    <xdr:clientData/>
  </xdr:twoCellAnchor>
  <xdr:twoCellAnchor>
    <xdr:from>
      <xdr:col>3</xdr:col>
      <xdr:colOff>592666</xdr:colOff>
      <xdr:row>14</xdr:row>
      <xdr:rowOff>108857</xdr:rowOff>
    </xdr:from>
    <xdr:to>
      <xdr:col>4</xdr:col>
      <xdr:colOff>1016000</xdr:colOff>
      <xdr:row>15</xdr:row>
      <xdr:rowOff>151190</xdr:rowOff>
    </xdr:to>
    <xdr:sp macro="[0]!RectangleRoundedCorners18_Click" textlink="">
      <xdr:nvSpPr>
        <xdr:cNvPr id="19" name="Rectangle: Rounded Corners 18">
          <a:extLst>
            <a:ext uri="{FF2B5EF4-FFF2-40B4-BE49-F238E27FC236}">
              <a16:creationId xmlns:a16="http://schemas.microsoft.com/office/drawing/2014/main" id="{348E27BB-AD2B-4F76-AEFB-137DDE7A93FC}"/>
            </a:ext>
          </a:extLst>
        </xdr:cNvPr>
        <xdr:cNvSpPr/>
      </xdr:nvSpPr>
      <xdr:spPr>
        <a:xfrm>
          <a:off x="2425095" y="3187095"/>
          <a:ext cx="1034143" cy="223762"/>
        </a:xfrm>
        <a:prstGeom prst="roundRect">
          <a:avLst/>
        </a:prstGeom>
        <a:solidFill>
          <a:schemeClr val="bg1"/>
        </a:solidFill>
        <a:ln>
          <a:solidFill>
            <a:srgbClr val="E7223A"/>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DZ" sz="1100">
              <a:solidFill>
                <a:srgbClr val="E7223A"/>
              </a:solidFill>
              <a:latin typeface="Montserrat ExtraBold" pitchFamily="2" charset="0"/>
            </a:rPr>
            <a:t>Annuler</a:t>
          </a:r>
          <a:endParaRPr lang="fr-CA" sz="1100">
            <a:solidFill>
              <a:srgbClr val="E7223A"/>
            </a:solidFill>
            <a:latin typeface="Montserrat ExtraBold" pitchFamily="2" charset="0"/>
          </a:endParaRPr>
        </a:p>
      </xdr:txBody>
    </xdr:sp>
    <xdr:clientData/>
  </xdr:twoCellAnchor>
  <xdr:twoCellAnchor>
    <xdr:from>
      <xdr:col>5</xdr:col>
      <xdr:colOff>562428</xdr:colOff>
      <xdr:row>14</xdr:row>
      <xdr:rowOff>108857</xdr:rowOff>
    </xdr:from>
    <xdr:to>
      <xdr:col>6</xdr:col>
      <xdr:colOff>985761</xdr:colOff>
      <xdr:row>15</xdr:row>
      <xdr:rowOff>151190</xdr:rowOff>
    </xdr:to>
    <xdr:sp macro="[0]!RectangleRoundedCorners19_Click" textlink="">
      <xdr:nvSpPr>
        <xdr:cNvPr id="20" name="Rectangle: Rounded Corners 19">
          <a:extLst>
            <a:ext uri="{FF2B5EF4-FFF2-40B4-BE49-F238E27FC236}">
              <a16:creationId xmlns:a16="http://schemas.microsoft.com/office/drawing/2014/main" id="{B8BA52E5-CDFC-4D7E-890D-7DF4DEEDE702}"/>
            </a:ext>
          </a:extLst>
        </xdr:cNvPr>
        <xdr:cNvSpPr/>
      </xdr:nvSpPr>
      <xdr:spPr>
        <a:xfrm>
          <a:off x="5255380" y="3187095"/>
          <a:ext cx="1034143" cy="223762"/>
        </a:xfrm>
        <a:prstGeom prst="roundRect">
          <a:avLst/>
        </a:prstGeom>
        <a:solidFill>
          <a:srgbClr val="E7223A"/>
        </a:solidFill>
        <a:ln>
          <a:solidFill>
            <a:srgbClr val="E7223A"/>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DZ" sz="1100">
              <a:solidFill>
                <a:schemeClr val="bg1"/>
              </a:solidFill>
              <a:latin typeface="Montserrat ExtraBold" pitchFamily="2" charset="0"/>
            </a:rPr>
            <a:t>Reset</a:t>
          </a:r>
          <a:endParaRPr lang="fr-CA" sz="1100">
            <a:solidFill>
              <a:schemeClr val="bg1"/>
            </a:solidFill>
            <a:latin typeface="Montserrat ExtraBold" pitchFamily="2" charset="0"/>
          </a:endParaRPr>
        </a:p>
      </xdr:txBody>
    </xdr:sp>
    <xdr:clientData/>
  </xdr:twoCellAnchor>
  <xdr:twoCellAnchor>
    <xdr:from>
      <xdr:col>6</xdr:col>
      <xdr:colOff>1397000</xdr:colOff>
      <xdr:row>14</xdr:row>
      <xdr:rowOff>108857</xdr:rowOff>
    </xdr:from>
    <xdr:to>
      <xdr:col>7</xdr:col>
      <xdr:colOff>387048</xdr:colOff>
      <xdr:row>15</xdr:row>
      <xdr:rowOff>151190</xdr:rowOff>
    </xdr:to>
    <xdr:sp macro="[0]!RectangleRoundedCorners20_Click" textlink="">
      <xdr:nvSpPr>
        <xdr:cNvPr id="21" name="Rectangle: Rounded Corners 20">
          <a:extLst>
            <a:ext uri="{FF2B5EF4-FFF2-40B4-BE49-F238E27FC236}">
              <a16:creationId xmlns:a16="http://schemas.microsoft.com/office/drawing/2014/main" id="{40F68F6E-ADF2-417B-88C1-B370263B2ACA}"/>
            </a:ext>
          </a:extLst>
        </xdr:cNvPr>
        <xdr:cNvSpPr/>
      </xdr:nvSpPr>
      <xdr:spPr>
        <a:xfrm>
          <a:off x="6700762" y="3187095"/>
          <a:ext cx="1034143" cy="223762"/>
        </a:xfrm>
        <a:prstGeom prst="roundRect">
          <a:avLst/>
        </a:prstGeom>
        <a:solidFill>
          <a:srgbClr val="E7223A"/>
        </a:solidFill>
        <a:ln>
          <a:solidFill>
            <a:srgbClr val="E7223A"/>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DZ" sz="1100">
              <a:solidFill>
                <a:schemeClr val="bg1"/>
              </a:solidFill>
              <a:latin typeface="Montserrat ExtraBold" pitchFamily="2" charset="0"/>
            </a:rPr>
            <a:t>Ajouter</a:t>
          </a:r>
          <a:endParaRPr lang="fr-CA" sz="1100">
            <a:solidFill>
              <a:schemeClr val="bg1"/>
            </a:solidFill>
            <a:latin typeface="Montserrat ExtraBold" pitchFamily="2"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70677</xdr:colOff>
      <xdr:row>4</xdr:row>
      <xdr:rowOff>93870</xdr:rowOff>
    </xdr:from>
    <xdr:to>
      <xdr:col>19</xdr:col>
      <xdr:colOff>80616</xdr:colOff>
      <xdr:row>13</xdr:row>
      <xdr:rowOff>9203</xdr:rowOff>
    </xdr:to>
    <xdr:graphicFrame macro="">
      <xdr:nvGraphicFramePr>
        <xdr:cNvPr id="4" name="Chart 3">
          <a:extLst>
            <a:ext uri="{FF2B5EF4-FFF2-40B4-BE49-F238E27FC236}">
              <a16:creationId xmlns:a16="http://schemas.microsoft.com/office/drawing/2014/main" id="{36F13A9F-E545-4702-82CD-46376593B7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33132</xdr:colOff>
      <xdr:row>12</xdr:row>
      <xdr:rowOff>79514</xdr:rowOff>
    </xdr:from>
    <xdr:to>
      <xdr:col>14</xdr:col>
      <xdr:colOff>541020</xdr:colOff>
      <xdr:row>21</xdr:row>
      <xdr:rowOff>168966</xdr:rowOff>
    </xdr:to>
    <xdr:graphicFrame macro="">
      <xdr:nvGraphicFramePr>
        <xdr:cNvPr id="2" name="Chart 1">
          <a:extLst>
            <a:ext uri="{FF2B5EF4-FFF2-40B4-BE49-F238E27FC236}">
              <a16:creationId xmlns:a16="http://schemas.microsoft.com/office/drawing/2014/main" id="{11ED7D6C-854D-44DF-B06A-EBB0EDF865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9464</xdr:colOff>
      <xdr:row>9</xdr:row>
      <xdr:rowOff>175118</xdr:rowOff>
    </xdr:from>
    <xdr:to>
      <xdr:col>5</xdr:col>
      <xdr:colOff>94657</xdr:colOff>
      <xdr:row>9</xdr:row>
      <xdr:rowOff>260311</xdr:rowOff>
    </xdr:to>
    <xdr:pic>
      <xdr:nvPicPr>
        <xdr:cNvPr id="2" name="Picture 1">
          <a:hlinkClick xmlns:r="http://schemas.openxmlformats.org/officeDocument/2006/relationships" r:id="rId1" tooltip="choisir line"/>
          <a:extLst>
            <a:ext uri="{FF2B5EF4-FFF2-40B4-BE49-F238E27FC236}">
              <a16:creationId xmlns:a16="http://schemas.microsoft.com/office/drawing/2014/main" id="{F300D0C2-4910-4AC3-B4E3-80A42CAB678E}"/>
            </a:ext>
          </a:extLst>
        </xdr:cNvPr>
        <xdr:cNvPicPr>
          <a:picLocks noChangeAspect="1"/>
        </xdr:cNvPicPr>
      </xdr:nvPicPr>
      <xdr:blipFill>
        <a:blip xmlns:r="http://schemas.openxmlformats.org/officeDocument/2006/relationships" r:embed="rId2"/>
        <a:stretch>
          <a:fillRect/>
        </a:stretch>
      </xdr:blipFill>
      <xdr:spPr>
        <a:xfrm>
          <a:off x="4695764" y="2811638"/>
          <a:ext cx="85193" cy="85193"/>
        </a:xfrm>
        <a:prstGeom prst="rect">
          <a:avLst/>
        </a:prstGeom>
      </xdr:spPr>
    </xdr:pic>
    <xdr:clientData/>
  </xdr:twoCellAnchor>
  <xdr:twoCellAnchor editAs="oneCell">
    <xdr:from>
      <xdr:col>7</xdr:col>
      <xdr:colOff>18929</xdr:colOff>
      <xdr:row>9</xdr:row>
      <xdr:rowOff>179851</xdr:rowOff>
    </xdr:from>
    <xdr:to>
      <xdr:col>7</xdr:col>
      <xdr:colOff>104122</xdr:colOff>
      <xdr:row>9</xdr:row>
      <xdr:rowOff>265044</xdr:rowOff>
    </xdr:to>
    <xdr:pic>
      <xdr:nvPicPr>
        <xdr:cNvPr id="3" name="Picture 2">
          <a:hlinkClick xmlns:r="http://schemas.openxmlformats.org/officeDocument/2006/relationships" r:id="rId3"/>
          <a:extLst>
            <a:ext uri="{FF2B5EF4-FFF2-40B4-BE49-F238E27FC236}">
              <a16:creationId xmlns:a16="http://schemas.microsoft.com/office/drawing/2014/main" id="{868ED68E-42FE-4D2E-A74E-65F5CECD4453}"/>
            </a:ext>
          </a:extLst>
        </xdr:cNvPr>
        <xdr:cNvPicPr>
          <a:picLocks noChangeAspect="1"/>
        </xdr:cNvPicPr>
      </xdr:nvPicPr>
      <xdr:blipFill>
        <a:blip xmlns:r="http://schemas.openxmlformats.org/officeDocument/2006/relationships" r:embed="rId2"/>
        <a:stretch>
          <a:fillRect/>
        </a:stretch>
      </xdr:blipFill>
      <xdr:spPr>
        <a:xfrm>
          <a:off x="7356989" y="2816371"/>
          <a:ext cx="85193" cy="85193"/>
        </a:xfrm>
        <a:prstGeom prst="rect">
          <a:avLst/>
        </a:prstGeom>
      </xdr:spPr>
    </xdr:pic>
    <xdr:clientData/>
  </xdr:twoCellAnchor>
  <xdr:twoCellAnchor editAs="oneCell">
    <xdr:from>
      <xdr:col>4</xdr:col>
      <xdr:colOff>2248293</xdr:colOff>
      <xdr:row>12</xdr:row>
      <xdr:rowOff>188424</xdr:rowOff>
    </xdr:from>
    <xdr:to>
      <xdr:col>5</xdr:col>
      <xdr:colOff>83772</xdr:colOff>
      <xdr:row>13</xdr:row>
      <xdr:rowOff>1473</xdr:rowOff>
    </xdr:to>
    <xdr:pic>
      <xdr:nvPicPr>
        <xdr:cNvPr id="12" name="Picture 11">
          <a:hlinkClick xmlns:r="http://schemas.openxmlformats.org/officeDocument/2006/relationships" r:id="rId4"/>
          <a:extLst>
            <a:ext uri="{FF2B5EF4-FFF2-40B4-BE49-F238E27FC236}">
              <a16:creationId xmlns:a16="http://schemas.microsoft.com/office/drawing/2014/main" id="{9F5690F4-8222-4D9B-A013-D1E1023C0B27}"/>
            </a:ext>
          </a:extLst>
        </xdr:cNvPr>
        <xdr:cNvPicPr>
          <a:picLocks noChangeAspect="1"/>
        </xdr:cNvPicPr>
      </xdr:nvPicPr>
      <xdr:blipFill>
        <a:blip xmlns:r="http://schemas.openxmlformats.org/officeDocument/2006/relationships" r:embed="rId2"/>
        <a:stretch>
          <a:fillRect/>
        </a:stretch>
      </xdr:blipFill>
      <xdr:spPr>
        <a:xfrm>
          <a:off x="4691531" y="2994519"/>
          <a:ext cx="85193" cy="85193"/>
        </a:xfrm>
        <a:prstGeom prst="rect">
          <a:avLst/>
        </a:prstGeom>
      </xdr:spPr>
    </xdr:pic>
    <xdr:clientData/>
  </xdr:twoCellAnchor>
  <xdr:twoCellAnchor>
    <xdr:from>
      <xdr:col>4</xdr:col>
      <xdr:colOff>5817</xdr:colOff>
      <xdr:row>15</xdr:row>
      <xdr:rowOff>23266</xdr:rowOff>
    </xdr:from>
    <xdr:to>
      <xdr:col>4</xdr:col>
      <xdr:colOff>1047023</xdr:colOff>
      <xdr:row>16</xdr:row>
      <xdr:rowOff>69800</xdr:rowOff>
    </xdr:to>
    <xdr:sp macro="[0]!RectangleRoundedCorners23_Click" textlink="">
      <xdr:nvSpPr>
        <xdr:cNvPr id="24" name="Rectangle: Rounded Corners 23">
          <a:extLst>
            <a:ext uri="{FF2B5EF4-FFF2-40B4-BE49-F238E27FC236}">
              <a16:creationId xmlns:a16="http://schemas.microsoft.com/office/drawing/2014/main" id="{B34952AE-1F99-4E0B-8B9A-BD77C28E08F2}"/>
            </a:ext>
          </a:extLst>
        </xdr:cNvPr>
        <xdr:cNvSpPr/>
      </xdr:nvSpPr>
      <xdr:spPr>
        <a:xfrm>
          <a:off x="2448870" y="3367922"/>
          <a:ext cx="1041206" cy="226855"/>
        </a:xfrm>
        <a:prstGeom prst="roundRect">
          <a:avLst/>
        </a:prstGeom>
        <a:solidFill>
          <a:schemeClr val="bg1"/>
        </a:solidFill>
        <a:ln>
          <a:solidFill>
            <a:srgbClr val="E7223A"/>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100">
              <a:solidFill>
                <a:srgbClr val="E7223A"/>
              </a:solidFill>
              <a:latin typeface="Montserrat ExtraBold" pitchFamily="2" charset="0"/>
              <a:ea typeface="+mn-ea"/>
              <a:cs typeface="+mn-cs"/>
            </a:rPr>
            <a:t>Annuler</a:t>
          </a:r>
        </a:p>
      </xdr:txBody>
    </xdr:sp>
    <xdr:clientData/>
  </xdr:twoCellAnchor>
  <xdr:twoCellAnchor>
    <xdr:from>
      <xdr:col>5</xdr:col>
      <xdr:colOff>437297</xdr:colOff>
      <xdr:row>15</xdr:row>
      <xdr:rowOff>87251</xdr:rowOff>
    </xdr:from>
    <xdr:to>
      <xdr:col>6</xdr:col>
      <xdr:colOff>867740</xdr:colOff>
      <xdr:row>16</xdr:row>
      <xdr:rowOff>133785</xdr:rowOff>
    </xdr:to>
    <xdr:sp macro="[0]!RectangleRoundedCorners24_Click" textlink="">
      <xdr:nvSpPr>
        <xdr:cNvPr id="25" name="Rectangle: Rounded Corners 24">
          <a:extLst>
            <a:ext uri="{FF2B5EF4-FFF2-40B4-BE49-F238E27FC236}">
              <a16:creationId xmlns:a16="http://schemas.microsoft.com/office/drawing/2014/main" id="{7783F45E-D4CF-4273-8E91-D711B9A52840}"/>
            </a:ext>
          </a:extLst>
        </xdr:cNvPr>
        <xdr:cNvSpPr/>
      </xdr:nvSpPr>
      <xdr:spPr>
        <a:xfrm>
          <a:off x="5125633" y="3431907"/>
          <a:ext cx="1041206" cy="226855"/>
        </a:xfrm>
        <a:prstGeom prst="roundRect">
          <a:avLst/>
        </a:prstGeom>
        <a:solidFill>
          <a:srgbClr val="E7223A"/>
        </a:solidFill>
        <a:ln>
          <a:solidFill>
            <a:srgbClr val="E7223A"/>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100">
              <a:solidFill>
                <a:schemeClr val="bg1"/>
              </a:solidFill>
              <a:latin typeface="Montserrat ExtraBold" pitchFamily="2" charset="0"/>
              <a:ea typeface="+mn-ea"/>
              <a:cs typeface="+mn-cs"/>
            </a:rPr>
            <a:t>Reset</a:t>
          </a:r>
        </a:p>
      </xdr:txBody>
    </xdr:sp>
    <xdr:clientData/>
  </xdr:twoCellAnchor>
  <xdr:twoCellAnchor>
    <xdr:from>
      <xdr:col>6</xdr:col>
      <xdr:colOff>1282141</xdr:colOff>
      <xdr:row>15</xdr:row>
      <xdr:rowOff>58167</xdr:rowOff>
    </xdr:from>
    <xdr:to>
      <xdr:col>7</xdr:col>
      <xdr:colOff>281652</xdr:colOff>
      <xdr:row>16</xdr:row>
      <xdr:rowOff>104701</xdr:rowOff>
    </xdr:to>
    <xdr:sp macro="[0]!RectangleRoundedCorners25_Click" textlink="">
      <xdr:nvSpPr>
        <xdr:cNvPr id="26" name="Rectangle: Rounded Corners 25">
          <a:extLst>
            <a:ext uri="{FF2B5EF4-FFF2-40B4-BE49-F238E27FC236}">
              <a16:creationId xmlns:a16="http://schemas.microsoft.com/office/drawing/2014/main" id="{C4C6DE84-3061-4CFF-A954-564778B452A5}"/>
            </a:ext>
          </a:extLst>
        </xdr:cNvPr>
        <xdr:cNvSpPr/>
      </xdr:nvSpPr>
      <xdr:spPr>
        <a:xfrm>
          <a:off x="6581240" y="3402823"/>
          <a:ext cx="1041206" cy="226855"/>
        </a:xfrm>
        <a:prstGeom prst="roundRect">
          <a:avLst/>
        </a:prstGeom>
        <a:solidFill>
          <a:srgbClr val="E7223A"/>
        </a:solidFill>
        <a:ln>
          <a:solidFill>
            <a:srgbClr val="E7223A"/>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CA" sz="1100">
              <a:solidFill>
                <a:schemeClr val="bg1"/>
              </a:solidFill>
              <a:latin typeface="Montserrat ExtraBold" pitchFamily="2" charset="0"/>
              <a:ea typeface="+mn-ea"/>
              <a:cs typeface="+mn-cs"/>
            </a:rPr>
            <a:t>Ajouter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129268</xdr:colOff>
      <xdr:row>4</xdr:row>
      <xdr:rowOff>197304</xdr:rowOff>
    </xdr:from>
    <xdr:to>
      <xdr:col>13</xdr:col>
      <xdr:colOff>99060</xdr:colOff>
      <xdr:row>15</xdr:row>
      <xdr:rowOff>83820</xdr:rowOff>
    </xdr:to>
    <xdr:graphicFrame macro="">
      <xdr:nvGraphicFramePr>
        <xdr:cNvPr id="5" name="Chart 4">
          <a:extLst>
            <a:ext uri="{FF2B5EF4-FFF2-40B4-BE49-F238E27FC236}">
              <a16:creationId xmlns:a16="http://schemas.microsoft.com/office/drawing/2014/main" id="{1DECCBE4-CFE7-4E87-B283-F32108D846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859776-2F44-4355-AC06-3EF617FCED4C}" name="maintenanciers" displayName="maintenanciers" ref="D5:J10" totalsRowShown="0" headerRowDxfId="44" dataDxfId="43" totalsRowDxfId="42">
  <autoFilter ref="D5:J10" xr:uid="{33859776-2F44-4355-AC06-3EF617FCED4C}"/>
  <sortState xmlns:xlrd2="http://schemas.microsoft.com/office/spreadsheetml/2017/richdata2" ref="D6:J7">
    <sortCondition ref="D5:D7"/>
  </sortState>
  <tableColumns count="7">
    <tableColumn id="2" xr3:uid="{7D343E4A-ACDB-4AE9-9122-C31E5299FB2A}" name="Nom complet" dataDxfId="41" totalsRowDxfId="40"/>
    <tableColumn id="4" xr3:uid="{33F330B8-4493-4ADE-A233-F21C6D807506}" name="CIN" dataDxfId="39" totalsRowDxfId="38"/>
    <tableColumn id="5" xr3:uid="{B9541317-5E3A-4FA4-8432-633A1DFA2435}" name="Téléphone" dataDxfId="37" totalsRowDxfId="36"/>
    <tableColumn id="6" xr3:uid="{40EA4A47-9606-4DED-96C5-FE9EF5908350}" name="Genre" dataDxfId="35" totalsRowDxfId="34"/>
    <tableColumn id="7" xr3:uid="{CF37899B-72E1-4AA0-9F91-51179296289B}" name="Spicialité" dataDxfId="33" totalsRowDxfId="32"/>
    <tableColumn id="8" xr3:uid="{7FAC7621-D0ED-46B1-98E6-65C91A4C2931}" name="Tache" dataDxfId="31" totalsRowDxfId="30"/>
    <tableColumn id="9" xr3:uid="{9AE59C5E-13F6-4940-A39F-B43A01093BF9}" name="Availibilité" dataDxfId="29" totalsRowDxfId="28"/>
  </tableColumns>
  <tableStyleInfo name="TableStyleLight3"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E388CC-CC8F-46B8-8059-72AF99295521}" name="planslist" displayName="planslist" ref="D5:J10" totalsRowShown="0" headerRowDxfId="27" dataDxfId="26" totalsRowDxfId="25">
  <autoFilter ref="D5:J10" xr:uid="{34E388CC-CC8F-46B8-8059-72AF99295521}"/>
  <tableColumns count="7">
    <tableColumn id="2" xr3:uid="{0970710B-2F0B-4C11-B6D9-23B7F6484D9D}" name="Plan" dataDxfId="24" totalsRowDxfId="23"/>
    <tableColumn id="3" xr3:uid="{118ADDF5-6226-4C73-88F7-2C43B9E4C0DF}" name="Etiquette" dataDxfId="22" totalsRowDxfId="21"/>
    <tableColumn id="4" xr3:uid="{F5A3763C-7BD3-4262-8C53-99338537F766}" name="Line" dataDxfId="20" totalsRowDxfId="19"/>
    <tableColumn id="5" xr3:uid="{7D2E9DF9-39C8-41D9-964F-208DFF810157}" name="Type" dataDxfId="18" totalsRowDxfId="17"/>
    <tableColumn id="6" xr3:uid="{0B123351-B555-47D7-83E0-747A39F28545}" name="Fréquence" dataDxfId="16" totalsRowDxfId="15"/>
    <tableColumn id="7" xr3:uid="{771340B3-D75B-466C-870A-D33C16914C04}" name="Description" dataDxfId="14" totalsRowDxfId="13"/>
    <tableColumn id="1" xr3:uid="{8E4797EF-F95A-4820-9527-775DB47474BB}" name="occurrence" dataDxfId="12" totalsRowDxfId="11">
      <calculatedColumnFormula>COUNTIF(tasksta[P.M],planslist[[#This Row],[Etiquette]])</calculatedColumnFormula>
    </tableColumn>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725B53-4503-494C-8736-8418FD8B6EC1}" name="tasksta" displayName="tasksta" ref="D5:G20" headerRowDxfId="10" dataDxfId="9" totalsRowDxfId="8">
  <autoFilter ref="D5:G20" xr:uid="{93725B53-4503-494C-8736-8418FD8B6EC1}"/>
  <tableColumns count="4">
    <tableColumn id="2" xr3:uid="{6817B847-53F5-411E-A256-CD0174264CDE}" name="Maintenancier" dataDxfId="7" totalsRowDxfId="6"/>
    <tableColumn id="3" xr3:uid="{F175AB7B-49A6-415B-814C-02E4EBA91E8B}" name="P.M" dataDxfId="5" totalsRowDxfId="4"/>
    <tableColumn id="5" xr3:uid="{5798E99C-1BEF-4924-B339-4E139514D0E4}" name="Date" dataDxfId="3" totalsRowDxfId="2"/>
    <tableColumn id="1" xr3:uid="{638B58D1-1C4F-4C9C-8A24-C056981B0BF2}" name="Type" dataDxfId="1" totalsRowDxfId="0"/>
  </tableColumns>
  <tableStyleInfo name="TableStyleLight3"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brahimessakine@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4B496-6A00-44BE-9C3C-0AB877A03728}">
  <sheetPr codeName="Sheet2"/>
  <dimension ref="A1:AM58"/>
  <sheetViews>
    <sheetView showGridLines="0" tabSelected="1" zoomScaleNormal="100" workbookViewId="0">
      <selection activeCell="I10" sqref="I10"/>
    </sheetView>
  </sheetViews>
  <sheetFormatPr defaultRowHeight="14.4" x14ac:dyDescent="0.3"/>
  <cols>
    <col min="1" max="1" width="24.44140625" style="19" customWidth="1"/>
    <col min="2" max="3" width="8.88671875" style="1"/>
    <col min="4" max="4" width="8.88671875" style="40"/>
    <col min="5" max="34" width="3.5546875" style="40" bestFit="1" customWidth="1"/>
    <col min="35" max="35" width="3.5546875" style="35" bestFit="1" customWidth="1"/>
    <col min="36" max="36" width="8.88671875" style="1"/>
    <col min="37" max="37" width="14.33203125" style="1" bestFit="1" customWidth="1"/>
    <col min="38" max="38" width="14.6640625" style="1" bestFit="1" customWidth="1"/>
    <col min="39" max="39" width="19.109375" style="1" customWidth="1"/>
    <col min="40" max="40" width="11.88671875" customWidth="1"/>
  </cols>
  <sheetData>
    <row r="1" spans="1:39" s="1" customFormat="1" ht="17.399999999999999" x14ac:dyDescent="0.3">
      <c r="A1" s="19"/>
      <c r="B1" s="21">
        <v>2023</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5"/>
      <c r="AJ1" s="37"/>
      <c r="AK1" s="37"/>
      <c r="AL1" s="37"/>
      <c r="AM1" s="37"/>
    </row>
    <row r="2" spans="1:39" s="1" customFormat="1" x14ac:dyDescent="0.3">
      <c r="A2" s="19"/>
      <c r="B2" s="37"/>
      <c r="C2" s="37"/>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6"/>
      <c r="AJ2" s="37"/>
      <c r="AK2" s="37"/>
      <c r="AL2" s="37"/>
      <c r="AM2" s="37"/>
    </row>
    <row r="3" spans="1:39" s="1" customFormat="1" x14ac:dyDescent="0.3">
      <c r="A3" s="19"/>
      <c r="B3" s="38"/>
      <c r="C3" s="38"/>
      <c r="D3" s="38"/>
      <c r="E3" s="37"/>
      <c r="F3" s="37"/>
      <c r="G3" s="37"/>
      <c r="H3" s="37"/>
      <c r="I3" s="37"/>
      <c r="J3" s="37"/>
      <c r="K3" s="35"/>
      <c r="L3" s="35"/>
      <c r="M3" s="35"/>
      <c r="N3" s="35"/>
      <c r="O3" s="35"/>
      <c r="P3" s="35"/>
      <c r="Q3" s="35"/>
      <c r="R3" s="35"/>
      <c r="S3" s="35"/>
      <c r="T3" s="35"/>
      <c r="U3" s="35"/>
      <c r="V3" s="35"/>
      <c r="W3" s="35"/>
      <c r="X3" s="35"/>
      <c r="Y3" s="35"/>
      <c r="Z3" s="35"/>
      <c r="AA3" s="35"/>
      <c r="AB3" s="35"/>
      <c r="AC3" s="35"/>
      <c r="AD3" s="35"/>
      <c r="AE3" s="35"/>
      <c r="AF3" s="35"/>
      <c r="AG3" s="35"/>
      <c r="AH3" s="35"/>
      <c r="AI3" s="35"/>
      <c r="AJ3" s="37"/>
      <c r="AK3" s="37"/>
      <c r="AL3" s="37"/>
      <c r="AM3" s="37"/>
    </row>
    <row r="4" spans="1:39" s="1" customFormat="1" x14ac:dyDescent="0.3">
      <c r="A4" s="19"/>
      <c r="B4" s="37"/>
      <c r="C4" s="37"/>
      <c r="D4" s="37"/>
      <c r="E4" s="37"/>
      <c r="F4" s="37"/>
      <c r="G4" s="37"/>
      <c r="H4" s="45"/>
      <c r="I4" s="45"/>
      <c r="J4" s="45"/>
      <c r="K4" s="44"/>
      <c r="L4" s="44"/>
      <c r="M4" s="44"/>
      <c r="N4" s="44"/>
      <c r="O4" s="44"/>
      <c r="P4" s="44"/>
      <c r="Q4" s="35"/>
      <c r="R4" s="35"/>
      <c r="S4" s="35"/>
      <c r="T4" s="35"/>
      <c r="U4" s="35"/>
      <c r="V4" s="35"/>
      <c r="W4" s="35"/>
      <c r="X4" s="35"/>
      <c r="Y4" s="35"/>
      <c r="Z4" s="35"/>
      <c r="AA4" s="35"/>
      <c r="AB4" s="35"/>
      <c r="AC4" s="35"/>
      <c r="AD4" s="35"/>
      <c r="AE4" s="35"/>
      <c r="AF4" s="35"/>
      <c r="AG4" s="35"/>
      <c r="AH4" s="35"/>
      <c r="AI4" s="35"/>
      <c r="AJ4" s="37"/>
      <c r="AK4" s="37"/>
      <c r="AL4" s="37"/>
      <c r="AM4" s="37"/>
    </row>
    <row r="5" spans="1:39" s="1" customFormat="1" ht="18" x14ac:dyDescent="0.3">
      <c r="A5" s="20">
        <f ca="1">NOW()</f>
        <v>45199.095005671297</v>
      </c>
      <c r="B5" s="37"/>
      <c r="C5" s="37"/>
      <c r="D5" s="37"/>
      <c r="E5" s="37"/>
      <c r="F5" s="45"/>
      <c r="G5" s="37"/>
      <c r="H5" s="45"/>
      <c r="I5" s="45"/>
      <c r="J5" s="45"/>
      <c r="K5" s="44"/>
      <c r="L5" s="44"/>
      <c r="M5" s="44"/>
      <c r="N5" s="44"/>
      <c r="O5" s="44"/>
      <c r="P5" s="44"/>
      <c r="Q5" s="35"/>
      <c r="R5" s="35"/>
      <c r="S5" s="37"/>
      <c r="T5" s="37"/>
      <c r="U5" s="37"/>
      <c r="V5" s="37"/>
      <c r="W5" s="35"/>
      <c r="X5" s="35"/>
      <c r="Y5" s="35"/>
      <c r="Z5" s="35"/>
      <c r="AA5" s="35"/>
      <c r="AB5" s="35"/>
      <c r="AC5" s="35"/>
      <c r="AD5" s="35"/>
      <c r="AE5" s="35"/>
      <c r="AF5" s="35"/>
      <c r="AG5" s="35"/>
      <c r="AH5" s="35"/>
      <c r="AI5" s="35"/>
      <c r="AJ5" s="37"/>
      <c r="AK5" s="37"/>
      <c r="AL5" s="37"/>
      <c r="AM5" s="37"/>
    </row>
    <row r="6" spans="1:39" s="1" customFormat="1" ht="14.4" customHeight="1" x14ac:dyDescent="0.3">
      <c r="A6" s="19"/>
      <c r="B6" s="37"/>
      <c r="C6" s="37"/>
      <c r="D6" s="37"/>
      <c r="E6" s="37"/>
      <c r="F6" s="37"/>
      <c r="G6" s="35"/>
      <c r="H6" s="44"/>
      <c r="I6" s="44"/>
      <c r="J6" s="44"/>
      <c r="K6" s="44"/>
      <c r="L6" s="44"/>
      <c r="M6" s="44"/>
      <c r="N6" s="44"/>
      <c r="O6" s="44"/>
      <c r="P6" s="44"/>
      <c r="Q6" s="35"/>
      <c r="R6" s="35"/>
      <c r="S6" s="37"/>
      <c r="T6" s="37"/>
      <c r="U6" s="37"/>
      <c r="V6" s="37"/>
      <c r="W6" s="48" t="s">
        <v>8</v>
      </c>
      <c r="X6" s="48"/>
      <c r="Y6" s="48"/>
      <c r="Z6" s="48"/>
      <c r="AA6" s="48"/>
      <c r="AB6" s="48"/>
      <c r="AC6" s="48"/>
      <c r="AD6" s="48"/>
      <c r="AE6" s="48"/>
      <c r="AF6" s="48"/>
      <c r="AG6" s="35"/>
      <c r="AH6" s="35"/>
      <c r="AI6" s="35"/>
      <c r="AJ6" s="37"/>
      <c r="AK6" s="37"/>
      <c r="AL6" s="37"/>
      <c r="AM6" s="37"/>
    </row>
    <row r="7" spans="1:39" s="1" customFormat="1" ht="14.4" customHeight="1" x14ac:dyDescent="0.3">
      <c r="A7" s="19"/>
      <c r="B7" s="37"/>
      <c r="C7" s="37"/>
      <c r="D7" s="37"/>
      <c r="E7" s="37"/>
      <c r="F7" s="37"/>
      <c r="G7" s="35"/>
      <c r="H7" s="35"/>
      <c r="I7" s="35"/>
      <c r="J7" s="35"/>
      <c r="K7" s="35"/>
      <c r="L7" s="35"/>
      <c r="M7" s="35"/>
      <c r="N7" s="35"/>
      <c r="O7" s="35"/>
      <c r="P7" s="35"/>
      <c r="Q7" s="35"/>
      <c r="R7" s="35"/>
      <c r="S7" s="37"/>
      <c r="T7" s="37"/>
      <c r="U7" s="37"/>
      <c r="V7" s="37"/>
      <c r="W7" s="48"/>
      <c r="X7" s="48"/>
      <c r="Y7" s="48"/>
      <c r="Z7" s="48"/>
      <c r="AA7" s="48"/>
      <c r="AB7" s="48"/>
      <c r="AC7" s="48"/>
      <c r="AD7" s="48"/>
      <c r="AE7" s="48"/>
      <c r="AF7" s="48"/>
      <c r="AG7" s="35"/>
      <c r="AH7" s="35"/>
      <c r="AI7" s="35"/>
      <c r="AJ7" s="39"/>
      <c r="AK7" s="37"/>
      <c r="AL7" s="37"/>
      <c r="AM7" s="37"/>
    </row>
    <row r="8" spans="1:39" s="1" customFormat="1" ht="15" thickBot="1" x14ac:dyDescent="0.35">
      <c r="A8" s="19"/>
      <c r="B8" s="37"/>
      <c r="C8" s="37"/>
      <c r="D8" s="37"/>
      <c r="E8" s="37"/>
      <c r="F8" s="37"/>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7"/>
      <c r="AK8" s="37"/>
      <c r="AL8" s="37"/>
      <c r="AM8" s="37"/>
    </row>
    <row r="9" spans="1:39" ht="53.4" customHeight="1" thickBot="1" x14ac:dyDescent="0.35">
      <c r="B9" s="37"/>
      <c r="C9" s="37"/>
      <c r="D9" s="41"/>
      <c r="E9" s="42">
        <v>44927</v>
      </c>
      <c r="F9" s="42">
        <v>44928</v>
      </c>
      <c r="G9" s="42">
        <v>44929</v>
      </c>
      <c r="H9" s="42">
        <v>44930</v>
      </c>
      <c r="I9" s="42">
        <v>44931</v>
      </c>
      <c r="J9" s="42">
        <v>44932</v>
      </c>
      <c r="K9" s="42">
        <v>44933</v>
      </c>
      <c r="L9" s="42">
        <v>44934</v>
      </c>
      <c r="M9" s="42">
        <v>44935</v>
      </c>
      <c r="N9" s="42">
        <v>44936</v>
      </c>
      <c r="O9" s="42">
        <v>44937</v>
      </c>
      <c r="P9" s="42">
        <v>44938</v>
      </c>
      <c r="Q9" s="42">
        <v>44939</v>
      </c>
      <c r="R9" s="42">
        <v>44940</v>
      </c>
      <c r="S9" s="42">
        <v>44941</v>
      </c>
      <c r="T9" s="42">
        <v>44942</v>
      </c>
      <c r="U9" s="42">
        <v>44943</v>
      </c>
      <c r="V9" s="42">
        <v>44944</v>
      </c>
      <c r="W9" s="42">
        <v>44945</v>
      </c>
      <c r="X9" s="42">
        <v>44946</v>
      </c>
      <c r="Y9" s="42">
        <v>44947</v>
      </c>
      <c r="Z9" s="42">
        <v>44948</v>
      </c>
      <c r="AA9" s="42">
        <v>44949</v>
      </c>
      <c r="AB9" s="42">
        <v>44950</v>
      </c>
      <c r="AC9" s="42">
        <v>44951</v>
      </c>
      <c r="AD9" s="42">
        <v>44952</v>
      </c>
      <c r="AE9" s="42">
        <v>44953</v>
      </c>
      <c r="AF9" s="42">
        <v>44954</v>
      </c>
      <c r="AG9" s="42">
        <v>44955</v>
      </c>
      <c r="AH9" s="42">
        <v>44956</v>
      </c>
      <c r="AI9" s="42">
        <v>44957</v>
      </c>
      <c r="AJ9" s="37"/>
      <c r="AK9" s="37"/>
      <c r="AL9" s="37"/>
      <c r="AM9" s="37"/>
    </row>
    <row r="10" spans="1:39" ht="15.6" thickTop="1" thickBot="1" x14ac:dyDescent="0.35">
      <c r="B10" s="37"/>
      <c r="C10" s="37"/>
      <c r="D10" s="46" t="s">
        <v>0</v>
      </c>
      <c r="E10" s="46"/>
      <c r="F10" s="46"/>
      <c r="G10" s="46"/>
      <c r="H10" s="46"/>
      <c r="I10" s="61"/>
      <c r="J10" s="46"/>
      <c r="K10" s="46"/>
      <c r="L10" s="46"/>
      <c r="M10" s="46"/>
      <c r="N10" s="46"/>
      <c r="O10" s="46"/>
      <c r="P10" s="47"/>
      <c r="Q10" s="46"/>
      <c r="R10" s="46"/>
      <c r="S10" s="46"/>
      <c r="T10" s="46"/>
      <c r="U10" s="46"/>
      <c r="V10" s="46"/>
      <c r="W10" s="46"/>
      <c r="X10" s="46"/>
      <c r="Y10" s="46"/>
      <c r="Z10" s="46"/>
      <c r="AA10" s="46"/>
      <c r="AB10" s="46"/>
      <c r="AC10" s="46"/>
      <c r="AD10" s="46"/>
      <c r="AE10" s="46"/>
      <c r="AF10" s="46"/>
      <c r="AG10" s="46"/>
      <c r="AH10" s="46"/>
      <c r="AI10" s="43"/>
      <c r="AJ10" s="37"/>
      <c r="AK10" s="37"/>
      <c r="AL10" s="37"/>
      <c r="AM10" s="37"/>
    </row>
    <row r="11" spans="1:39" ht="15.6" thickTop="1" thickBot="1" x14ac:dyDescent="0.35">
      <c r="B11" s="37"/>
      <c r="C11" s="37"/>
      <c r="D11" s="46" t="s">
        <v>40</v>
      </c>
      <c r="E11" s="46"/>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3"/>
      <c r="AJ11" s="37"/>
      <c r="AK11" s="37"/>
      <c r="AL11" s="37"/>
      <c r="AM11" s="37"/>
    </row>
    <row r="12" spans="1:39" ht="15.6" thickTop="1" thickBot="1" x14ac:dyDescent="0.35">
      <c r="B12" s="37"/>
      <c r="C12" s="37"/>
      <c r="D12" s="46" t="s">
        <v>44</v>
      </c>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3"/>
      <c r="AJ12" s="37"/>
      <c r="AK12" s="37"/>
      <c r="AL12" s="37"/>
      <c r="AM12" s="37"/>
    </row>
    <row r="13" spans="1:39" ht="15" thickTop="1" x14ac:dyDescent="0.3">
      <c r="B13" s="37"/>
      <c r="C13" s="37"/>
      <c r="D13" s="38"/>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6"/>
      <c r="AJ13" s="37"/>
      <c r="AK13" s="37"/>
      <c r="AL13" s="37"/>
      <c r="AM13" s="37"/>
    </row>
    <row r="14" spans="1:39" x14ac:dyDescent="0.3">
      <c r="B14" s="37"/>
      <c r="C14" s="38"/>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6"/>
      <c r="AJ14" s="37"/>
      <c r="AK14" s="37"/>
      <c r="AL14" s="37"/>
      <c r="AM14" s="37"/>
    </row>
    <row r="15" spans="1:39" x14ac:dyDescent="0.3">
      <c r="B15" s="37"/>
      <c r="C15" s="38"/>
      <c r="D15" s="38"/>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6"/>
      <c r="AJ15" s="37"/>
      <c r="AK15" s="37"/>
      <c r="AL15" s="37"/>
      <c r="AM15" s="37"/>
    </row>
    <row r="16" spans="1:39" x14ac:dyDescent="0.3">
      <c r="B16" s="37"/>
      <c r="C16" s="38"/>
      <c r="D16" s="38"/>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6"/>
      <c r="AJ16" s="37"/>
      <c r="AK16" s="37"/>
      <c r="AL16" s="37"/>
      <c r="AM16" s="37"/>
    </row>
    <row r="17" spans="1:39" x14ac:dyDescent="0.3">
      <c r="B17" s="37"/>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6"/>
      <c r="AJ17" s="37"/>
      <c r="AK17" s="37"/>
      <c r="AL17" s="37"/>
      <c r="AM17" s="37"/>
    </row>
    <row r="18" spans="1:39" x14ac:dyDescent="0.3">
      <c r="B18" s="37"/>
      <c r="C18" s="38"/>
      <c r="D18" s="38"/>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6"/>
      <c r="AJ18" s="37"/>
      <c r="AK18" s="37"/>
      <c r="AL18" s="37"/>
      <c r="AM18" s="37"/>
    </row>
    <row r="19" spans="1:39" ht="15" thickBot="1" x14ac:dyDescent="0.35">
      <c r="B19" s="37"/>
      <c r="C19" s="38"/>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6"/>
      <c r="AJ19" s="37"/>
      <c r="AK19" s="37"/>
      <c r="AL19" s="37"/>
      <c r="AM19" s="37"/>
    </row>
    <row r="20" spans="1:39" s="1" customFormat="1" ht="17.399999999999999" thickBot="1" x14ac:dyDescent="0.35">
      <c r="A20" s="19"/>
      <c r="B20" s="37"/>
      <c r="C20" s="37"/>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6"/>
      <c r="AK20" s="55" t="s">
        <v>64</v>
      </c>
      <c r="AL20" s="56"/>
      <c r="AM20" s="57"/>
    </row>
    <row r="21" spans="1:39" s="1" customFormat="1" ht="17.399999999999999" thickBot="1" x14ac:dyDescent="0.35">
      <c r="A21" s="19"/>
      <c r="B21" s="37"/>
      <c r="C21" s="37"/>
      <c r="D21" s="38"/>
      <c r="E21" s="38"/>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6"/>
      <c r="AK21" s="30" t="s">
        <v>61</v>
      </c>
      <c r="AL21" s="51" t="s">
        <v>60</v>
      </c>
      <c r="AM21" s="52"/>
    </row>
    <row r="22" spans="1:39" s="1" customFormat="1" ht="17.399999999999999" thickBot="1" x14ac:dyDescent="0.35">
      <c r="A22" s="19"/>
      <c r="B22" s="37"/>
      <c r="C22" s="37"/>
      <c r="D22" s="38"/>
      <c r="E22" s="38"/>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6"/>
      <c r="AK22" s="29" t="s">
        <v>62</v>
      </c>
      <c r="AL22" s="49" t="s">
        <v>33</v>
      </c>
      <c r="AM22" s="50"/>
    </row>
    <row r="23" spans="1:39" s="1" customFormat="1" ht="17.399999999999999" thickBot="1" x14ac:dyDescent="0.45">
      <c r="A23" s="19"/>
      <c r="B23" s="37"/>
      <c r="C23" s="37"/>
      <c r="D23" s="38"/>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6"/>
      <c r="AK23" s="28">
        <v>45178</v>
      </c>
      <c r="AL23" s="53" t="s">
        <v>63</v>
      </c>
      <c r="AM23" s="54"/>
    </row>
    <row r="24" spans="1:39" s="1" customFormat="1" x14ac:dyDescent="0.3">
      <c r="A24" s="19"/>
      <c r="B24" s="37"/>
      <c r="C24" s="37"/>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6"/>
    </row>
    <row r="25" spans="1:39" s="1" customFormat="1" x14ac:dyDescent="0.3">
      <c r="A25" s="19"/>
      <c r="B25" s="37"/>
      <c r="C25" s="37"/>
      <c r="D25" s="3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6"/>
    </row>
    <row r="26" spans="1:39" s="1" customFormat="1" x14ac:dyDescent="0.3">
      <c r="A26" s="19"/>
      <c r="B26" s="37"/>
      <c r="C26" s="37"/>
      <c r="D26" s="3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6"/>
    </row>
    <row r="27" spans="1:39" s="1" customFormat="1" x14ac:dyDescent="0.3">
      <c r="A27" s="19"/>
      <c r="B27" s="37"/>
      <c r="C27" s="37"/>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6"/>
    </row>
    <row r="28" spans="1:39" x14ac:dyDescent="0.3">
      <c r="B28" s="37"/>
      <c r="C28" s="37"/>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6"/>
    </row>
    <row r="29" spans="1:39" x14ac:dyDescent="0.3">
      <c r="B29" s="37"/>
      <c r="C29" s="37"/>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6"/>
    </row>
    <row r="30" spans="1:39" x14ac:dyDescent="0.3">
      <c r="B30" s="37"/>
      <c r="C30" s="37"/>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6"/>
    </row>
    <row r="31" spans="1:39" x14ac:dyDescent="0.3">
      <c r="B31" s="37"/>
      <c r="C31" s="37"/>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6"/>
    </row>
    <row r="32" spans="1:39" x14ac:dyDescent="0.3">
      <c r="B32" s="37"/>
      <c r="C32" s="37"/>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6"/>
    </row>
    <row r="33" spans="2:35" x14ac:dyDescent="0.3">
      <c r="B33" s="37"/>
      <c r="C33" s="37"/>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6"/>
    </row>
    <row r="34" spans="2:35" x14ac:dyDescent="0.3">
      <c r="B34" s="37"/>
      <c r="C34" s="37"/>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6"/>
    </row>
    <row r="35" spans="2:35" x14ac:dyDescent="0.3">
      <c r="B35" s="37"/>
      <c r="C35" s="37"/>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6"/>
    </row>
    <row r="36" spans="2:35" x14ac:dyDescent="0.3">
      <c r="B36" s="37"/>
      <c r="C36" s="37"/>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6"/>
    </row>
    <row r="37" spans="2:35" x14ac:dyDescent="0.3">
      <c r="B37" s="37"/>
      <c r="C37" s="37"/>
      <c r="D37" s="38"/>
      <c r="E37" s="38"/>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6"/>
    </row>
    <row r="38" spans="2:35" x14ac:dyDescent="0.3">
      <c r="B38" s="37"/>
      <c r="C38" s="37"/>
      <c r="D38" s="38"/>
      <c r="E38" s="38"/>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6"/>
    </row>
    <row r="39" spans="2:35" x14ac:dyDescent="0.3">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6"/>
    </row>
    <row r="40" spans="2:35" x14ac:dyDescent="0.3">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6"/>
    </row>
    <row r="41" spans="2:35" x14ac:dyDescent="0.3">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6"/>
    </row>
    <row r="42" spans="2:35" x14ac:dyDescent="0.3">
      <c r="D42" s="38"/>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6"/>
    </row>
    <row r="43" spans="2:35" x14ac:dyDescent="0.3">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6"/>
    </row>
    <row r="44" spans="2:35" x14ac:dyDescent="0.3">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6"/>
    </row>
    <row r="45" spans="2:35" x14ac:dyDescent="0.3">
      <c r="D45" s="38"/>
      <c r="E45" s="38"/>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6"/>
    </row>
    <row r="46" spans="2:35" x14ac:dyDescent="0.3">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6"/>
    </row>
    <row r="47" spans="2:35" x14ac:dyDescent="0.3">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6"/>
    </row>
    <row r="48" spans="2:35" x14ac:dyDescent="0.3">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6"/>
    </row>
    <row r="49" spans="4:35" x14ac:dyDescent="0.3">
      <c r="D49" s="38"/>
      <c r="E49" s="38"/>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6"/>
    </row>
    <row r="50" spans="4:35" x14ac:dyDescent="0.3">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6"/>
    </row>
    <row r="51" spans="4:35" x14ac:dyDescent="0.3">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6"/>
    </row>
    <row r="52" spans="4:35" x14ac:dyDescent="0.3">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6"/>
    </row>
    <row r="53" spans="4:35" x14ac:dyDescent="0.3">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6"/>
    </row>
    <row r="54" spans="4:35" x14ac:dyDescent="0.3">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6"/>
    </row>
    <row r="55" spans="4:35" x14ac:dyDescent="0.3">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6"/>
    </row>
    <row r="56" spans="4:35" x14ac:dyDescent="0.3">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6"/>
    </row>
    <row r="57" spans="4:35" x14ac:dyDescent="0.3">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6"/>
    </row>
    <row r="58" spans="4:35" x14ac:dyDescent="0.3">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6"/>
    </row>
  </sheetData>
  <sheetProtection selectLockedCells="1"/>
  <mergeCells count="5">
    <mergeCell ref="W6:AF7"/>
    <mergeCell ref="AL22:AM22"/>
    <mergeCell ref="AL21:AM21"/>
    <mergeCell ref="AL23:AM23"/>
    <mergeCell ref="AK20:AM20"/>
  </mergeCells>
  <phoneticPr fontId="1" type="noConversion"/>
  <dataValidations count="1">
    <dataValidation type="list" allowBlank="1" showInputMessage="1" showErrorMessage="1" sqref="W6" xr:uid="{4B3A0EB8-084E-4FFC-9332-BBA4FB395154}">
      <formula1>"ESSAKINE,MED Drafi,ABDALLAH HACHMT,"</formula1>
    </dataValidation>
  </dataValidations>
  <hyperlinks>
    <hyperlink ref="AK20" r:id="rId1" xr:uid="{F33AA819-DD73-4C8E-93D0-E95EDA541C06}"/>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D03EF-A07F-447C-9ADB-4C2A83FE7327}">
  <sheetPr codeName="Sheet3">
    <tabColor rgb="FFF7ABB2"/>
  </sheetPr>
  <dimension ref="A1:CKN107"/>
  <sheetViews>
    <sheetView zoomScale="97" zoomScaleNormal="100" workbookViewId="0">
      <selection activeCell="D9" sqref="D9"/>
    </sheetView>
  </sheetViews>
  <sheetFormatPr defaultRowHeight="14.4" x14ac:dyDescent="0.3"/>
  <cols>
    <col min="1" max="3" width="8.88671875" style="1"/>
    <col min="4" max="4" width="29.88671875" style="1" customWidth="1"/>
    <col min="5" max="5" width="18.109375" style="1" bestFit="1" customWidth="1"/>
    <col min="6" max="6" width="20.21875" style="14" bestFit="1" customWidth="1"/>
    <col min="7" max="7" width="18" style="1" bestFit="1" customWidth="1"/>
    <col min="8" max="8" width="17.88671875" style="1" bestFit="1" customWidth="1"/>
    <col min="9" max="9" width="13.109375" style="1" bestFit="1" customWidth="1"/>
    <col min="10" max="10" width="15.109375" style="1" customWidth="1"/>
    <col min="11" max="16384" width="8.88671875" style="1"/>
  </cols>
  <sheetData>
    <row r="1" spans="1:2328" s="2" customFormat="1" x14ac:dyDescent="0.3">
      <c r="F1" s="11"/>
    </row>
    <row r="2" spans="1:2328" s="2" customFormat="1" x14ac:dyDescent="0.3">
      <c r="F2" s="11"/>
    </row>
    <row r="3" spans="1:2328" s="2" customFormat="1" ht="27" customHeight="1" x14ac:dyDescent="0.3">
      <c r="D3" s="58" t="s">
        <v>56</v>
      </c>
      <c r="E3" s="59"/>
      <c r="F3" s="59"/>
      <c r="G3" s="59"/>
      <c r="H3" s="59"/>
      <c r="I3" s="59"/>
      <c r="J3" s="59"/>
    </row>
    <row r="4" spans="1:2328" s="4" customFormat="1" ht="16.8" customHeight="1" x14ac:dyDescent="0.3">
      <c r="A4" s="2"/>
      <c r="B4" s="2"/>
      <c r="C4" s="2"/>
      <c r="D4" s="59"/>
      <c r="E4" s="59"/>
      <c r="F4" s="59"/>
      <c r="G4" s="59"/>
      <c r="H4" s="59"/>
      <c r="I4" s="59"/>
      <c r="J4" s="59"/>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row>
    <row r="5" spans="1:2328" s="4" customFormat="1" ht="23.4" customHeight="1" x14ac:dyDescent="0.3">
      <c r="D5" s="10" t="s">
        <v>35</v>
      </c>
      <c r="E5" s="10" t="s">
        <v>11</v>
      </c>
      <c r="F5" s="12" t="s">
        <v>5</v>
      </c>
      <c r="G5" s="10" t="s">
        <v>12</v>
      </c>
      <c r="H5" s="10" t="s">
        <v>13</v>
      </c>
      <c r="I5" s="10" t="s">
        <v>50</v>
      </c>
      <c r="J5" s="10" t="s">
        <v>14</v>
      </c>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c r="AMK5" s="9"/>
      <c r="AML5" s="9"/>
      <c r="AMM5" s="9"/>
      <c r="AMN5" s="9"/>
      <c r="AMO5" s="9"/>
      <c r="AMP5" s="9"/>
      <c r="AMQ5" s="9"/>
      <c r="AMR5" s="9"/>
      <c r="AMS5" s="9"/>
      <c r="AMT5" s="9"/>
      <c r="AMU5" s="9"/>
      <c r="AMV5" s="9"/>
      <c r="AMW5" s="9"/>
      <c r="AMX5" s="9"/>
      <c r="AMY5" s="9"/>
      <c r="AMZ5" s="9"/>
      <c r="ANA5" s="9"/>
      <c r="ANB5" s="9"/>
      <c r="ANC5" s="9"/>
      <c r="AND5" s="9"/>
      <c r="ANE5" s="9"/>
      <c r="ANF5" s="9"/>
      <c r="ANG5" s="9"/>
      <c r="ANH5" s="9"/>
      <c r="ANI5" s="9"/>
      <c r="ANJ5" s="9"/>
      <c r="ANK5" s="9"/>
      <c r="ANL5" s="9"/>
      <c r="ANM5" s="9"/>
      <c r="ANN5" s="9"/>
      <c r="ANO5" s="9"/>
      <c r="ANP5" s="9"/>
      <c r="ANQ5" s="9"/>
      <c r="ANR5" s="9"/>
      <c r="ANS5" s="9"/>
      <c r="ANT5" s="9"/>
      <c r="ANU5" s="9"/>
      <c r="ANV5" s="9"/>
      <c r="ANW5" s="9"/>
      <c r="ANX5" s="9"/>
      <c r="ANY5" s="9"/>
      <c r="ANZ5" s="9"/>
      <c r="AOA5" s="9"/>
      <c r="AOB5" s="9"/>
      <c r="AOC5" s="9"/>
      <c r="AOD5" s="9"/>
      <c r="AOE5" s="9"/>
      <c r="AOF5" s="9"/>
      <c r="AOG5" s="9"/>
      <c r="AOH5" s="9"/>
      <c r="AOI5" s="9"/>
      <c r="AOJ5" s="9"/>
      <c r="AOK5" s="9"/>
      <c r="AOL5" s="9"/>
      <c r="AOM5" s="9"/>
      <c r="AON5" s="9"/>
      <c r="AOO5" s="9"/>
      <c r="AOP5" s="9"/>
      <c r="AOQ5" s="9"/>
      <c r="AOR5" s="9"/>
      <c r="AOS5" s="9"/>
      <c r="AOT5" s="9"/>
      <c r="AOU5" s="9"/>
      <c r="AOV5" s="9"/>
      <c r="AOW5" s="9"/>
      <c r="AOX5" s="9"/>
      <c r="AOY5" s="9"/>
      <c r="AOZ5" s="9"/>
      <c r="APA5" s="9"/>
      <c r="APB5" s="9"/>
      <c r="APC5" s="9"/>
      <c r="APD5" s="9"/>
      <c r="APE5" s="9"/>
      <c r="APF5" s="9"/>
      <c r="APG5" s="9"/>
      <c r="APH5" s="9"/>
      <c r="API5" s="9"/>
      <c r="APJ5" s="9"/>
      <c r="APK5" s="9"/>
      <c r="APL5" s="9"/>
      <c r="APM5" s="9"/>
      <c r="APN5" s="9"/>
      <c r="APO5" s="9"/>
      <c r="APP5" s="9"/>
      <c r="APQ5" s="9"/>
      <c r="APR5" s="9"/>
      <c r="APS5" s="9"/>
      <c r="APT5" s="9"/>
      <c r="APU5" s="9"/>
      <c r="APV5" s="9"/>
      <c r="APW5" s="9"/>
      <c r="APX5" s="9"/>
      <c r="APY5" s="9"/>
      <c r="APZ5" s="9"/>
      <c r="AQA5" s="9"/>
      <c r="AQB5" s="9"/>
      <c r="AQC5" s="9"/>
      <c r="AQD5" s="9"/>
      <c r="AQE5" s="9"/>
      <c r="AQF5" s="9"/>
      <c r="AQG5" s="9"/>
      <c r="AQH5" s="9"/>
      <c r="AQI5" s="9"/>
      <c r="AQJ5" s="9"/>
      <c r="AQK5" s="9"/>
      <c r="AQL5" s="9"/>
      <c r="AQM5" s="9"/>
      <c r="AQN5" s="9"/>
      <c r="AQO5" s="9"/>
      <c r="AQP5" s="9"/>
      <c r="AQQ5" s="9"/>
      <c r="AQR5" s="9"/>
      <c r="AQS5" s="9"/>
      <c r="AQT5" s="9"/>
      <c r="AQU5" s="9"/>
      <c r="AQV5" s="9"/>
      <c r="AQW5" s="9"/>
      <c r="AQX5" s="9"/>
      <c r="AQY5" s="9"/>
      <c r="AQZ5" s="9"/>
      <c r="ARA5" s="9"/>
      <c r="ARB5" s="9"/>
      <c r="ARC5" s="9"/>
      <c r="ARD5" s="9"/>
      <c r="ARE5" s="9"/>
      <c r="ARF5" s="9"/>
      <c r="ARG5" s="9"/>
      <c r="ARH5" s="9"/>
      <c r="ARI5" s="9"/>
      <c r="ARJ5" s="9"/>
      <c r="ARK5" s="9"/>
      <c r="ARL5" s="9"/>
      <c r="ARM5" s="9"/>
      <c r="ARN5" s="9"/>
      <c r="ARO5" s="9"/>
      <c r="ARP5" s="9"/>
      <c r="ARQ5" s="9"/>
      <c r="ARR5" s="9"/>
      <c r="ARS5" s="9"/>
      <c r="ART5" s="9"/>
      <c r="ARU5" s="9"/>
      <c r="ARV5" s="9"/>
      <c r="ARW5" s="9"/>
      <c r="ARX5" s="9"/>
      <c r="ARY5" s="9"/>
      <c r="ARZ5" s="9"/>
      <c r="ASA5" s="9"/>
      <c r="ASB5" s="9"/>
      <c r="ASC5" s="9"/>
      <c r="ASD5" s="9"/>
      <c r="ASE5" s="9"/>
      <c r="ASF5" s="9"/>
      <c r="ASG5" s="9"/>
      <c r="ASH5" s="9"/>
      <c r="ASI5" s="9"/>
      <c r="ASJ5" s="9"/>
      <c r="ASK5" s="9"/>
      <c r="ASL5" s="9"/>
      <c r="ASM5" s="9"/>
      <c r="ASN5" s="9"/>
      <c r="ASO5" s="9"/>
      <c r="ASP5" s="9"/>
      <c r="ASQ5" s="9"/>
      <c r="ASR5" s="9"/>
      <c r="ASS5" s="9"/>
      <c r="AST5" s="9"/>
      <c r="ASU5" s="9"/>
      <c r="ASV5" s="9"/>
      <c r="ASW5" s="9"/>
      <c r="ASX5" s="9"/>
      <c r="ASY5" s="9"/>
      <c r="ASZ5" s="9"/>
      <c r="ATA5" s="9"/>
      <c r="ATB5" s="9"/>
      <c r="ATC5" s="9"/>
      <c r="ATD5" s="9"/>
      <c r="ATE5" s="9"/>
      <c r="ATF5" s="9"/>
      <c r="ATG5" s="9"/>
      <c r="ATH5" s="9"/>
      <c r="ATI5" s="9"/>
      <c r="ATJ5" s="9"/>
      <c r="ATK5" s="9"/>
      <c r="ATL5" s="9"/>
      <c r="ATM5" s="9"/>
      <c r="ATN5" s="9"/>
      <c r="ATO5" s="9"/>
      <c r="ATP5" s="9"/>
      <c r="ATQ5" s="9"/>
      <c r="ATR5" s="9"/>
      <c r="ATS5" s="9"/>
      <c r="ATT5" s="9"/>
      <c r="ATU5" s="9"/>
      <c r="ATV5" s="9"/>
      <c r="ATW5" s="9"/>
      <c r="ATX5" s="9"/>
      <c r="ATY5" s="9"/>
      <c r="ATZ5" s="9"/>
      <c r="AUA5" s="9"/>
      <c r="AUB5" s="9"/>
      <c r="AUC5" s="9"/>
      <c r="AUD5" s="9"/>
      <c r="AUE5" s="9"/>
      <c r="AUF5" s="9"/>
      <c r="AUG5" s="9"/>
      <c r="AUH5" s="9"/>
      <c r="AUI5" s="9"/>
      <c r="AUJ5" s="9"/>
      <c r="AUK5" s="9"/>
      <c r="AUL5" s="9"/>
      <c r="AUM5" s="9"/>
      <c r="AUN5" s="9"/>
      <c r="AUO5" s="9"/>
      <c r="AUP5" s="9"/>
      <c r="AUQ5" s="9"/>
      <c r="AUR5" s="9"/>
      <c r="AUS5" s="9"/>
      <c r="AUT5" s="9"/>
      <c r="AUU5" s="9"/>
      <c r="AUV5" s="9"/>
      <c r="AUW5" s="9"/>
      <c r="AUX5" s="9"/>
      <c r="AUY5" s="9"/>
      <c r="AUZ5" s="9"/>
      <c r="AVA5" s="9"/>
      <c r="AVB5" s="9"/>
      <c r="AVC5" s="9"/>
      <c r="AVD5" s="9"/>
      <c r="AVE5" s="9"/>
      <c r="AVF5" s="9"/>
      <c r="AVG5" s="9"/>
      <c r="AVH5" s="9"/>
      <c r="AVI5" s="9"/>
      <c r="AVJ5" s="9"/>
      <c r="AVK5" s="9"/>
      <c r="AVL5" s="9"/>
      <c r="AVM5" s="9"/>
      <c r="AVN5" s="9"/>
      <c r="AVO5" s="9"/>
      <c r="AVP5" s="9"/>
      <c r="AVQ5" s="9"/>
      <c r="AVR5" s="9"/>
      <c r="AVS5" s="9"/>
      <c r="AVT5" s="9"/>
      <c r="AVU5" s="9"/>
      <c r="AVV5" s="9"/>
      <c r="AVW5" s="9"/>
      <c r="AVX5" s="9"/>
      <c r="AVY5" s="9"/>
      <c r="AVZ5" s="9"/>
      <c r="AWA5" s="9"/>
      <c r="AWB5" s="9"/>
      <c r="AWC5" s="9"/>
      <c r="AWD5" s="9"/>
      <c r="AWE5" s="9"/>
      <c r="AWF5" s="9"/>
      <c r="AWG5" s="9"/>
      <c r="AWH5" s="9"/>
      <c r="AWI5" s="9"/>
      <c r="AWJ5" s="9"/>
      <c r="AWK5" s="9"/>
      <c r="AWL5" s="9"/>
      <c r="AWM5" s="9"/>
      <c r="AWN5" s="9"/>
      <c r="AWO5" s="9"/>
      <c r="AWP5" s="9"/>
      <c r="AWQ5" s="9"/>
      <c r="AWR5" s="9"/>
      <c r="AWS5" s="9"/>
      <c r="AWT5" s="9"/>
      <c r="AWU5" s="9"/>
      <c r="AWV5" s="9"/>
      <c r="AWW5" s="9"/>
      <c r="AWX5" s="9"/>
      <c r="AWY5" s="9"/>
      <c r="AWZ5" s="9"/>
      <c r="AXA5" s="9"/>
      <c r="AXB5" s="9"/>
      <c r="AXC5" s="9"/>
      <c r="AXD5" s="9"/>
      <c r="AXE5" s="9"/>
      <c r="AXF5" s="9"/>
      <c r="AXG5" s="9"/>
      <c r="AXH5" s="9"/>
      <c r="AXI5" s="9"/>
      <c r="AXJ5" s="9"/>
      <c r="AXK5" s="9"/>
      <c r="AXL5" s="9"/>
      <c r="AXM5" s="9"/>
      <c r="AXN5" s="9"/>
      <c r="AXO5" s="9"/>
      <c r="AXP5" s="9"/>
      <c r="AXQ5" s="9"/>
      <c r="AXR5" s="9"/>
      <c r="AXS5" s="9"/>
      <c r="AXT5" s="9"/>
      <c r="AXU5" s="9"/>
      <c r="AXV5" s="9"/>
      <c r="AXW5" s="9"/>
      <c r="AXX5" s="9"/>
      <c r="AXY5" s="9"/>
      <c r="AXZ5" s="9"/>
      <c r="AYA5" s="9"/>
      <c r="AYB5" s="9"/>
      <c r="AYC5" s="9"/>
      <c r="AYD5" s="9"/>
      <c r="AYE5" s="9"/>
      <c r="AYF5" s="9"/>
      <c r="AYG5" s="9"/>
      <c r="AYH5" s="9"/>
      <c r="AYI5" s="9"/>
      <c r="AYJ5" s="9"/>
      <c r="AYK5" s="9"/>
      <c r="AYL5" s="9"/>
      <c r="AYM5" s="9"/>
      <c r="AYN5" s="9"/>
      <c r="AYO5" s="9"/>
      <c r="AYP5" s="9"/>
      <c r="AYQ5" s="9"/>
      <c r="AYR5" s="9"/>
      <c r="AYS5" s="9"/>
      <c r="AYT5" s="9"/>
      <c r="AYU5" s="9"/>
      <c r="AYV5" s="9"/>
      <c r="AYW5" s="9"/>
      <c r="AYX5" s="9"/>
      <c r="AYY5" s="9"/>
      <c r="AYZ5" s="9"/>
      <c r="AZA5" s="9"/>
      <c r="AZB5" s="9"/>
      <c r="AZC5" s="9"/>
      <c r="AZD5" s="9"/>
      <c r="AZE5" s="9"/>
      <c r="AZF5" s="9"/>
      <c r="AZG5" s="9"/>
      <c r="AZH5" s="9"/>
      <c r="AZI5" s="9"/>
      <c r="AZJ5" s="9"/>
      <c r="AZK5" s="9"/>
      <c r="AZL5" s="9"/>
      <c r="AZM5" s="9"/>
      <c r="AZN5" s="9"/>
      <c r="AZO5" s="9"/>
      <c r="AZP5" s="9"/>
      <c r="AZQ5" s="9"/>
      <c r="AZR5" s="9"/>
      <c r="AZS5" s="9"/>
      <c r="AZT5" s="9"/>
      <c r="AZU5" s="9"/>
      <c r="AZV5" s="9"/>
      <c r="AZW5" s="9"/>
      <c r="AZX5" s="9"/>
      <c r="AZY5" s="9"/>
      <c r="AZZ5" s="9"/>
      <c r="BAA5" s="9"/>
      <c r="BAB5" s="9"/>
      <c r="BAC5" s="9"/>
      <c r="BAD5" s="9"/>
      <c r="BAE5" s="9"/>
      <c r="BAF5" s="9"/>
      <c r="BAG5" s="9"/>
      <c r="BAH5" s="9"/>
      <c r="BAI5" s="9"/>
      <c r="BAJ5" s="9"/>
      <c r="BAK5" s="9"/>
      <c r="BAL5" s="9"/>
      <c r="BAM5" s="9"/>
      <c r="BAN5" s="9"/>
      <c r="BAO5" s="9"/>
      <c r="BAP5" s="9"/>
      <c r="BAQ5" s="9"/>
      <c r="BAR5" s="9"/>
      <c r="BAS5" s="9"/>
      <c r="BAT5" s="9"/>
      <c r="BAU5" s="9"/>
      <c r="BAV5" s="9"/>
      <c r="BAW5" s="9"/>
      <c r="BAX5" s="9"/>
      <c r="BAY5" s="9"/>
      <c r="BAZ5" s="9"/>
      <c r="BBA5" s="9"/>
      <c r="BBB5" s="9"/>
      <c r="BBC5" s="9"/>
      <c r="BBD5" s="9"/>
      <c r="BBE5" s="9"/>
      <c r="BBF5" s="9"/>
      <c r="BBG5" s="9"/>
      <c r="BBH5" s="9"/>
      <c r="BBI5" s="9"/>
      <c r="BBJ5" s="9"/>
      <c r="BBK5" s="9"/>
      <c r="BBL5" s="9"/>
      <c r="BBM5" s="9"/>
      <c r="BBN5" s="9"/>
      <c r="BBO5" s="9"/>
      <c r="BBP5" s="9"/>
      <c r="BBQ5" s="9"/>
      <c r="BBR5" s="9"/>
      <c r="BBS5" s="9"/>
      <c r="BBT5" s="9"/>
      <c r="BBU5" s="9"/>
      <c r="BBV5" s="9"/>
      <c r="BBW5" s="9"/>
      <c r="BBX5" s="9"/>
      <c r="BBY5" s="9"/>
      <c r="BBZ5" s="9"/>
      <c r="BCA5" s="9"/>
      <c r="BCB5" s="9"/>
      <c r="BCC5" s="9"/>
      <c r="BCD5" s="9"/>
      <c r="BCE5" s="9"/>
      <c r="BCF5" s="9"/>
      <c r="BCG5" s="9"/>
      <c r="BCH5" s="9"/>
      <c r="BCI5" s="9"/>
      <c r="BCJ5" s="9"/>
      <c r="BCK5" s="9"/>
      <c r="BCL5" s="9"/>
      <c r="BCM5" s="9"/>
      <c r="BCN5" s="9"/>
      <c r="BCO5" s="9"/>
      <c r="BCP5" s="9"/>
      <c r="BCQ5" s="9"/>
      <c r="BCR5" s="9"/>
      <c r="BCS5" s="9"/>
      <c r="BCT5" s="9"/>
      <c r="BCU5" s="9"/>
      <c r="BCV5" s="9"/>
      <c r="BCW5" s="9"/>
      <c r="BCX5" s="9"/>
      <c r="BCY5" s="9"/>
      <c r="BCZ5" s="9"/>
      <c r="BDA5" s="9"/>
      <c r="BDB5" s="9"/>
      <c r="BDC5" s="9"/>
      <c r="BDD5" s="9"/>
      <c r="BDE5" s="9"/>
      <c r="BDF5" s="9"/>
      <c r="BDG5" s="9"/>
      <c r="BDH5" s="9"/>
      <c r="BDI5" s="9"/>
      <c r="BDJ5" s="9"/>
      <c r="BDK5" s="9"/>
      <c r="BDL5" s="9"/>
      <c r="BDM5" s="9"/>
      <c r="BDN5" s="9"/>
      <c r="BDO5" s="9"/>
      <c r="BDP5" s="9"/>
      <c r="BDQ5" s="9"/>
      <c r="BDR5" s="9"/>
      <c r="BDS5" s="9"/>
      <c r="BDT5" s="9"/>
      <c r="BDU5" s="9"/>
      <c r="BDV5" s="9"/>
      <c r="BDW5" s="9"/>
      <c r="BDX5" s="9"/>
      <c r="BDY5" s="9"/>
      <c r="BDZ5" s="9"/>
      <c r="BEA5" s="9"/>
      <c r="BEB5" s="9"/>
      <c r="BEC5" s="9"/>
      <c r="BED5" s="9"/>
      <c r="BEE5" s="9"/>
      <c r="BEF5" s="9"/>
      <c r="BEG5" s="9"/>
      <c r="BEH5" s="9"/>
      <c r="BEI5" s="9"/>
      <c r="BEJ5" s="9"/>
      <c r="BEK5" s="9"/>
      <c r="BEL5" s="9"/>
      <c r="BEM5" s="9"/>
      <c r="BEN5" s="9"/>
      <c r="BEO5" s="9"/>
      <c r="BEP5" s="9"/>
      <c r="BEQ5" s="9"/>
      <c r="BER5" s="9"/>
      <c r="BES5" s="9"/>
      <c r="BET5" s="9"/>
      <c r="BEU5" s="9"/>
      <c r="BEV5" s="9"/>
      <c r="BEW5" s="9"/>
      <c r="BEX5" s="9"/>
      <c r="BEY5" s="9"/>
      <c r="BEZ5" s="9"/>
      <c r="BFA5" s="9"/>
      <c r="BFB5" s="9"/>
      <c r="BFC5" s="9"/>
      <c r="BFD5" s="9"/>
      <c r="BFE5" s="9"/>
      <c r="BFF5" s="9"/>
      <c r="BFG5" s="9"/>
      <c r="BFH5" s="9"/>
      <c r="BFI5" s="9"/>
      <c r="BFJ5" s="9"/>
      <c r="BFK5" s="9"/>
      <c r="BFL5" s="9"/>
      <c r="BFM5" s="9"/>
      <c r="BFN5" s="9"/>
      <c r="BFO5" s="9"/>
      <c r="BFP5" s="9"/>
      <c r="BFQ5" s="9"/>
      <c r="BFR5" s="9"/>
      <c r="BFS5" s="9"/>
      <c r="BFT5" s="9"/>
      <c r="BFU5" s="9"/>
      <c r="BFV5" s="9"/>
      <c r="BFW5" s="9"/>
      <c r="BFX5" s="9"/>
      <c r="BFY5" s="9"/>
      <c r="BFZ5" s="9"/>
      <c r="BGA5" s="9"/>
      <c r="BGB5" s="9"/>
      <c r="BGC5" s="9"/>
      <c r="BGD5" s="9"/>
      <c r="BGE5" s="9"/>
      <c r="BGF5" s="9"/>
      <c r="BGG5" s="9"/>
      <c r="BGH5" s="9"/>
      <c r="BGI5" s="9"/>
      <c r="BGJ5" s="9"/>
      <c r="BGK5" s="9"/>
      <c r="BGL5" s="9"/>
      <c r="BGM5" s="9"/>
      <c r="BGN5" s="9"/>
      <c r="BGO5" s="9"/>
      <c r="BGP5" s="9"/>
      <c r="BGQ5" s="9"/>
      <c r="BGR5" s="9"/>
      <c r="BGS5" s="9"/>
      <c r="BGT5" s="9"/>
      <c r="BGU5" s="9"/>
      <c r="BGV5" s="9"/>
      <c r="BGW5" s="9"/>
      <c r="BGX5" s="9"/>
      <c r="BGY5" s="9"/>
      <c r="BGZ5" s="9"/>
      <c r="BHA5" s="9"/>
      <c r="BHB5" s="9"/>
      <c r="BHC5" s="9"/>
      <c r="BHD5" s="9"/>
      <c r="BHE5" s="9"/>
      <c r="BHF5" s="9"/>
      <c r="BHG5" s="9"/>
      <c r="BHH5" s="9"/>
      <c r="BHI5" s="9"/>
      <c r="BHJ5" s="9"/>
      <c r="BHK5" s="9"/>
      <c r="BHL5" s="9"/>
      <c r="BHM5" s="9"/>
      <c r="BHN5" s="9"/>
      <c r="BHO5" s="9"/>
      <c r="BHP5" s="9"/>
      <c r="BHQ5" s="9"/>
      <c r="BHR5" s="9"/>
      <c r="BHS5" s="9"/>
      <c r="BHT5" s="9"/>
      <c r="BHU5" s="9"/>
      <c r="BHV5" s="9"/>
      <c r="BHW5" s="9"/>
      <c r="BHX5" s="9"/>
      <c r="BHY5" s="9"/>
      <c r="BHZ5" s="9"/>
      <c r="BIA5" s="9"/>
      <c r="BIB5" s="9"/>
      <c r="BIC5" s="9"/>
      <c r="BID5" s="9"/>
      <c r="BIE5" s="9"/>
      <c r="BIF5" s="9"/>
      <c r="BIG5" s="9"/>
      <c r="BIH5" s="9"/>
      <c r="BII5" s="9"/>
      <c r="BIJ5" s="9"/>
      <c r="BIK5" s="9"/>
      <c r="BIL5" s="9"/>
      <c r="BIM5" s="9"/>
      <c r="BIN5" s="9"/>
      <c r="BIO5" s="9"/>
      <c r="BIP5" s="9"/>
      <c r="BIQ5" s="9"/>
      <c r="BIR5" s="9"/>
      <c r="BIS5" s="9"/>
      <c r="BIT5" s="9"/>
      <c r="BIU5" s="9"/>
      <c r="BIV5" s="9"/>
      <c r="BIW5" s="9"/>
      <c r="BIX5" s="9"/>
      <c r="BIY5" s="9"/>
      <c r="BIZ5" s="9"/>
      <c r="BJA5" s="9"/>
      <c r="BJB5" s="9"/>
      <c r="BJC5" s="9"/>
      <c r="BJD5" s="9"/>
      <c r="BJE5" s="9"/>
      <c r="BJF5" s="9"/>
      <c r="BJG5" s="9"/>
      <c r="BJH5" s="9"/>
      <c r="BJI5" s="9"/>
      <c r="BJJ5" s="9"/>
      <c r="BJK5" s="9"/>
      <c r="BJL5" s="9"/>
      <c r="BJM5" s="9"/>
      <c r="BJN5" s="9"/>
      <c r="BJO5" s="9"/>
      <c r="BJP5" s="9"/>
      <c r="BJQ5" s="9"/>
      <c r="BJR5" s="9"/>
      <c r="BJS5" s="9"/>
      <c r="BJT5" s="9"/>
      <c r="BJU5" s="9"/>
      <c r="BJV5" s="9"/>
      <c r="BJW5" s="9"/>
      <c r="BJX5" s="9"/>
      <c r="BJY5" s="9"/>
      <c r="BJZ5" s="9"/>
      <c r="BKA5" s="9"/>
      <c r="BKB5" s="9"/>
      <c r="BKC5" s="9"/>
      <c r="BKD5" s="9"/>
      <c r="BKE5" s="9"/>
      <c r="BKF5" s="9"/>
      <c r="BKG5" s="9"/>
      <c r="BKH5" s="9"/>
      <c r="BKI5" s="9"/>
      <c r="BKJ5" s="9"/>
      <c r="BKK5" s="9"/>
      <c r="BKL5" s="9"/>
      <c r="BKM5" s="9"/>
      <c r="BKN5" s="9"/>
      <c r="BKO5" s="9"/>
      <c r="BKP5" s="9"/>
      <c r="BKQ5" s="9"/>
      <c r="BKR5" s="9"/>
      <c r="BKS5" s="9"/>
      <c r="BKT5" s="9"/>
      <c r="BKU5" s="9"/>
      <c r="BKV5" s="9"/>
      <c r="BKW5" s="9"/>
      <c r="BKX5" s="9"/>
      <c r="BKY5" s="9"/>
      <c r="BKZ5" s="9"/>
      <c r="BLA5" s="9"/>
      <c r="BLB5" s="9"/>
      <c r="BLC5" s="9"/>
      <c r="BLD5" s="9"/>
      <c r="BLE5" s="9"/>
      <c r="BLF5" s="9"/>
      <c r="BLG5" s="9"/>
      <c r="BLH5" s="9"/>
      <c r="BLI5" s="9"/>
      <c r="BLJ5" s="9"/>
      <c r="BLK5" s="9"/>
      <c r="BLL5" s="9"/>
      <c r="BLM5" s="9"/>
      <c r="BLN5" s="9"/>
      <c r="BLO5" s="9"/>
      <c r="BLP5" s="9"/>
      <c r="BLQ5" s="9"/>
      <c r="BLR5" s="9"/>
      <c r="BLS5" s="9"/>
      <c r="BLT5" s="9"/>
      <c r="BLU5" s="9"/>
      <c r="BLV5" s="9"/>
      <c r="BLW5" s="9"/>
      <c r="BLX5" s="9"/>
      <c r="BLY5" s="9"/>
      <c r="BLZ5" s="9"/>
      <c r="BMA5" s="9"/>
      <c r="BMB5" s="9"/>
      <c r="BMC5" s="9"/>
      <c r="BMD5" s="9"/>
      <c r="BME5" s="9"/>
      <c r="BMF5" s="9"/>
      <c r="BMG5" s="9"/>
      <c r="BMH5" s="9"/>
      <c r="BMI5" s="9"/>
      <c r="BMJ5" s="9"/>
      <c r="BMK5" s="9"/>
      <c r="BML5" s="9"/>
      <c r="BMM5" s="9"/>
      <c r="BMN5" s="9"/>
      <c r="BMO5" s="9"/>
      <c r="BMP5" s="9"/>
      <c r="BMQ5" s="9"/>
      <c r="BMR5" s="9"/>
      <c r="BMS5" s="9"/>
      <c r="BMT5" s="9"/>
      <c r="BMU5" s="9"/>
      <c r="BMV5" s="9"/>
      <c r="BMW5" s="9"/>
      <c r="BMX5" s="9"/>
      <c r="BMY5" s="9"/>
      <c r="BMZ5" s="9"/>
      <c r="BNA5" s="9"/>
      <c r="BNB5" s="9"/>
      <c r="BNC5" s="9"/>
      <c r="BND5" s="9"/>
      <c r="BNE5" s="9"/>
      <c r="BNF5" s="9"/>
      <c r="BNG5" s="9"/>
      <c r="BNH5" s="9"/>
      <c r="BNI5" s="9"/>
      <c r="BNJ5" s="9"/>
      <c r="BNK5" s="9"/>
      <c r="BNL5" s="9"/>
      <c r="BNM5" s="9"/>
      <c r="BNN5" s="9"/>
      <c r="BNO5" s="9"/>
      <c r="BNP5" s="9"/>
      <c r="BNQ5" s="9"/>
      <c r="BNR5" s="9"/>
      <c r="BNS5" s="9"/>
      <c r="BNT5" s="9"/>
      <c r="BNU5" s="9"/>
      <c r="BNV5" s="9"/>
      <c r="BNW5" s="9"/>
      <c r="BNX5" s="9"/>
      <c r="BNY5" s="9"/>
      <c r="BNZ5" s="9"/>
      <c r="BOA5" s="9"/>
      <c r="BOB5" s="9"/>
      <c r="BOC5" s="9"/>
      <c r="BOD5" s="9"/>
      <c r="BOE5" s="9"/>
      <c r="BOF5" s="9"/>
      <c r="BOG5" s="9"/>
      <c r="BOH5" s="9"/>
      <c r="BOI5" s="9"/>
      <c r="BOJ5" s="9"/>
      <c r="BOK5" s="9"/>
      <c r="BOL5" s="9"/>
      <c r="BOM5" s="9"/>
      <c r="BON5" s="9"/>
      <c r="BOO5" s="9"/>
      <c r="BOP5" s="9"/>
      <c r="BOQ5" s="9"/>
      <c r="BOR5" s="9"/>
      <c r="BOS5" s="9"/>
      <c r="BOT5" s="9"/>
      <c r="BOU5" s="9"/>
      <c r="BOV5" s="9"/>
      <c r="BOW5" s="9"/>
      <c r="BOX5" s="9"/>
      <c r="BOY5" s="9"/>
      <c r="BOZ5" s="9"/>
      <c r="BPA5" s="9"/>
      <c r="BPB5" s="9"/>
      <c r="BPC5" s="9"/>
      <c r="BPD5" s="9"/>
      <c r="BPE5" s="9"/>
      <c r="BPF5" s="9"/>
      <c r="BPG5" s="9"/>
      <c r="BPH5" s="9"/>
      <c r="BPI5" s="9"/>
      <c r="BPJ5" s="9"/>
      <c r="BPK5" s="9"/>
      <c r="BPL5" s="9"/>
      <c r="BPM5" s="9"/>
      <c r="BPN5" s="9"/>
      <c r="BPO5" s="9"/>
      <c r="BPP5" s="9"/>
      <c r="BPQ5" s="9"/>
      <c r="BPR5" s="9"/>
      <c r="BPS5" s="9"/>
      <c r="BPT5" s="9"/>
      <c r="BPU5" s="9"/>
      <c r="BPV5" s="9"/>
      <c r="BPW5" s="9"/>
      <c r="BPX5" s="9"/>
      <c r="BPY5" s="9"/>
      <c r="BPZ5" s="9"/>
      <c r="BQA5" s="9"/>
      <c r="BQB5" s="9"/>
      <c r="BQC5" s="9"/>
      <c r="BQD5" s="9"/>
      <c r="BQE5" s="9"/>
      <c r="BQF5" s="9"/>
      <c r="BQG5" s="9"/>
      <c r="BQH5" s="9"/>
      <c r="BQI5" s="9"/>
      <c r="BQJ5" s="9"/>
      <c r="BQK5" s="9"/>
      <c r="BQL5" s="9"/>
      <c r="BQM5" s="9"/>
      <c r="BQN5" s="9"/>
      <c r="BQO5" s="9"/>
      <c r="BQP5" s="9"/>
      <c r="BQQ5" s="9"/>
      <c r="BQR5" s="9"/>
      <c r="BQS5" s="9"/>
      <c r="BQT5" s="9"/>
      <c r="BQU5" s="9"/>
      <c r="BQV5" s="9"/>
      <c r="BQW5" s="9"/>
      <c r="BQX5" s="9"/>
      <c r="BQY5" s="9"/>
      <c r="BQZ5" s="9"/>
      <c r="BRA5" s="9"/>
      <c r="BRB5" s="9"/>
      <c r="BRC5" s="9"/>
      <c r="BRD5" s="9"/>
      <c r="BRE5" s="9"/>
      <c r="BRF5" s="9"/>
      <c r="BRG5" s="9"/>
      <c r="BRH5" s="9"/>
      <c r="BRI5" s="9"/>
      <c r="BRJ5" s="9"/>
      <c r="BRK5" s="9"/>
      <c r="BRL5" s="9"/>
      <c r="BRM5" s="9"/>
      <c r="BRN5" s="9"/>
      <c r="BRO5" s="9"/>
      <c r="BRP5" s="9"/>
      <c r="BRQ5" s="9"/>
      <c r="BRR5" s="9"/>
      <c r="BRS5" s="9"/>
      <c r="BRT5" s="9"/>
      <c r="BRU5" s="9"/>
      <c r="BRV5" s="9"/>
      <c r="BRW5" s="9"/>
      <c r="BRX5" s="9"/>
      <c r="BRY5" s="9"/>
      <c r="BRZ5" s="9"/>
      <c r="BSA5" s="9"/>
      <c r="BSB5" s="9"/>
      <c r="BSC5" s="9"/>
      <c r="BSD5" s="9"/>
      <c r="BSE5" s="9"/>
      <c r="BSF5" s="9"/>
      <c r="BSG5" s="9"/>
      <c r="BSH5" s="9"/>
      <c r="BSI5" s="9"/>
      <c r="BSJ5" s="9"/>
      <c r="BSK5" s="9"/>
      <c r="BSL5" s="9"/>
      <c r="BSM5" s="9"/>
      <c r="BSN5" s="9"/>
      <c r="BSO5" s="9"/>
      <c r="BSP5" s="9"/>
      <c r="BSQ5" s="9"/>
      <c r="BSR5" s="9"/>
      <c r="BSS5" s="9"/>
      <c r="BST5" s="9"/>
      <c r="BSU5" s="9"/>
      <c r="BSV5" s="9"/>
      <c r="BSW5" s="9"/>
      <c r="BSX5" s="9"/>
      <c r="BSY5" s="9"/>
      <c r="BSZ5" s="9"/>
      <c r="BTA5" s="9"/>
      <c r="BTB5" s="9"/>
      <c r="BTC5" s="9"/>
      <c r="BTD5" s="9"/>
      <c r="BTE5" s="9"/>
      <c r="BTF5" s="9"/>
      <c r="BTG5" s="9"/>
      <c r="BTH5" s="9"/>
      <c r="BTI5" s="9"/>
      <c r="BTJ5" s="9"/>
      <c r="BTK5" s="9"/>
      <c r="BTL5" s="9"/>
      <c r="BTM5" s="9"/>
      <c r="BTN5" s="9"/>
      <c r="BTO5" s="9"/>
      <c r="BTP5" s="9"/>
      <c r="BTQ5" s="9"/>
      <c r="BTR5" s="9"/>
      <c r="BTS5" s="9"/>
      <c r="BTT5" s="9"/>
      <c r="BTU5" s="9"/>
      <c r="BTV5" s="9"/>
      <c r="BTW5" s="9"/>
      <c r="BTX5" s="9"/>
      <c r="BTY5" s="9"/>
      <c r="BTZ5" s="9"/>
      <c r="BUA5" s="9"/>
      <c r="BUB5" s="9"/>
      <c r="BUC5" s="9"/>
      <c r="BUD5" s="9"/>
      <c r="BUE5" s="9"/>
      <c r="BUF5" s="9"/>
      <c r="BUG5" s="9"/>
      <c r="BUH5" s="9"/>
      <c r="BUI5" s="9"/>
      <c r="BUJ5" s="9"/>
      <c r="BUK5" s="9"/>
      <c r="BUL5" s="9"/>
      <c r="BUM5" s="9"/>
      <c r="BUN5" s="9"/>
      <c r="BUO5" s="9"/>
      <c r="BUP5" s="9"/>
      <c r="BUQ5" s="9"/>
      <c r="BUR5" s="9"/>
      <c r="BUS5" s="9"/>
      <c r="BUT5" s="9"/>
      <c r="BUU5" s="9"/>
      <c r="BUV5" s="9"/>
      <c r="BUW5" s="9"/>
      <c r="BUX5" s="9"/>
      <c r="BUY5" s="9"/>
      <c r="BUZ5" s="9"/>
      <c r="BVA5" s="9"/>
      <c r="BVB5" s="9"/>
      <c r="BVC5" s="9"/>
      <c r="BVD5" s="9"/>
      <c r="BVE5" s="9"/>
      <c r="BVF5" s="9"/>
      <c r="BVG5" s="9"/>
      <c r="BVH5" s="9"/>
      <c r="BVI5" s="9"/>
      <c r="BVJ5" s="9"/>
      <c r="BVK5" s="9"/>
      <c r="BVL5" s="9"/>
      <c r="BVM5" s="9"/>
      <c r="BVN5" s="9"/>
      <c r="BVO5" s="9"/>
      <c r="BVP5" s="9"/>
      <c r="BVQ5" s="9"/>
      <c r="BVR5" s="9"/>
      <c r="BVS5" s="9"/>
      <c r="BVT5" s="9"/>
      <c r="BVU5" s="9"/>
      <c r="BVV5" s="9"/>
      <c r="BVW5" s="9"/>
      <c r="BVX5" s="9"/>
      <c r="BVY5" s="9"/>
      <c r="BVZ5" s="9"/>
      <c r="BWA5" s="9"/>
      <c r="BWB5" s="9"/>
      <c r="BWC5" s="9"/>
      <c r="BWD5" s="9"/>
      <c r="BWE5" s="9"/>
      <c r="BWF5" s="9"/>
      <c r="BWG5" s="9"/>
      <c r="BWH5" s="9"/>
      <c r="BWI5" s="9"/>
      <c r="BWJ5" s="9"/>
      <c r="BWK5" s="9"/>
      <c r="BWL5" s="9"/>
      <c r="BWM5" s="9"/>
      <c r="BWN5" s="9"/>
      <c r="BWO5" s="9"/>
      <c r="BWP5" s="9"/>
      <c r="BWQ5" s="9"/>
      <c r="BWR5" s="9"/>
      <c r="BWS5" s="9"/>
      <c r="BWT5" s="9"/>
      <c r="BWU5" s="9"/>
      <c r="BWV5" s="9"/>
      <c r="BWW5" s="9"/>
      <c r="BWX5" s="9"/>
      <c r="BWY5" s="9"/>
      <c r="BWZ5" s="9"/>
      <c r="BXA5" s="9"/>
      <c r="BXB5" s="9"/>
      <c r="BXC5" s="9"/>
      <c r="BXD5" s="9"/>
      <c r="BXE5" s="9"/>
      <c r="BXF5" s="9"/>
      <c r="BXG5" s="9"/>
      <c r="BXH5" s="9"/>
      <c r="BXI5" s="9"/>
      <c r="BXJ5" s="9"/>
      <c r="BXK5" s="9"/>
      <c r="BXL5" s="9"/>
      <c r="BXM5" s="9"/>
      <c r="BXN5" s="9"/>
      <c r="BXO5" s="9"/>
      <c r="BXP5" s="9"/>
      <c r="BXQ5" s="9"/>
      <c r="BXR5" s="9"/>
      <c r="BXS5" s="9"/>
      <c r="BXT5" s="9"/>
      <c r="BXU5" s="9"/>
      <c r="BXV5" s="9"/>
      <c r="BXW5" s="9"/>
      <c r="BXX5" s="9"/>
      <c r="BXY5" s="9"/>
      <c r="BXZ5" s="9"/>
      <c r="BYA5" s="9"/>
      <c r="BYB5" s="9"/>
      <c r="BYC5" s="9"/>
      <c r="BYD5" s="9"/>
      <c r="BYE5" s="9"/>
      <c r="BYF5" s="9"/>
      <c r="BYG5" s="9"/>
      <c r="BYH5" s="9"/>
      <c r="BYI5" s="9"/>
      <c r="BYJ5" s="9"/>
      <c r="BYK5" s="9"/>
      <c r="BYL5" s="9"/>
      <c r="BYM5" s="9"/>
      <c r="BYN5" s="9"/>
      <c r="BYO5" s="9"/>
      <c r="BYP5" s="9"/>
      <c r="BYQ5" s="9"/>
      <c r="BYR5" s="9"/>
      <c r="BYS5" s="9"/>
      <c r="BYT5" s="9"/>
      <c r="BYU5" s="9"/>
      <c r="BYV5" s="9"/>
      <c r="BYW5" s="9"/>
      <c r="BYX5" s="9"/>
      <c r="BYY5" s="9"/>
      <c r="BYZ5" s="9"/>
      <c r="BZA5" s="9"/>
      <c r="BZB5" s="9"/>
      <c r="BZC5" s="9"/>
      <c r="BZD5" s="9"/>
      <c r="BZE5" s="9"/>
      <c r="BZF5" s="9"/>
      <c r="BZG5" s="9"/>
      <c r="BZH5" s="9"/>
      <c r="BZI5" s="9"/>
      <c r="BZJ5" s="9"/>
      <c r="BZK5" s="9"/>
      <c r="BZL5" s="9"/>
      <c r="BZM5" s="9"/>
      <c r="BZN5" s="9"/>
      <c r="BZO5" s="9"/>
      <c r="BZP5" s="9"/>
      <c r="BZQ5" s="9"/>
      <c r="BZR5" s="9"/>
      <c r="BZS5" s="9"/>
      <c r="BZT5" s="9"/>
      <c r="BZU5" s="9"/>
      <c r="BZV5" s="9"/>
      <c r="BZW5" s="9"/>
      <c r="BZX5" s="9"/>
      <c r="BZY5" s="9"/>
      <c r="BZZ5" s="9"/>
      <c r="CAA5" s="9"/>
      <c r="CAB5" s="9"/>
      <c r="CAC5" s="9"/>
      <c r="CAD5" s="9"/>
      <c r="CAE5" s="9"/>
      <c r="CAF5" s="9"/>
      <c r="CAG5" s="9"/>
      <c r="CAH5" s="9"/>
      <c r="CAI5" s="9"/>
      <c r="CAJ5" s="9"/>
      <c r="CAK5" s="9"/>
      <c r="CAL5" s="9"/>
      <c r="CAM5" s="9"/>
      <c r="CAN5" s="9"/>
      <c r="CAO5" s="9"/>
      <c r="CAP5" s="9"/>
      <c r="CAQ5" s="9"/>
      <c r="CAR5" s="9"/>
      <c r="CAS5" s="9"/>
      <c r="CAT5" s="9"/>
      <c r="CAU5" s="9"/>
      <c r="CAV5" s="9"/>
      <c r="CAW5" s="9"/>
      <c r="CAX5" s="9"/>
      <c r="CAY5" s="9"/>
      <c r="CAZ5" s="9"/>
      <c r="CBA5" s="9"/>
      <c r="CBB5" s="9"/>
      <c r="CBC5" s="9"/>
      <c r="CBD5" s="9"/>
      <c r="CBE5" s="9"/>
      <c r="CBF5" s="9"/>
      <c r="CBG5" s="9"/>
      <c r="CBH5" s="9"/>
      <c r="CBI5" s="9"/>
      <c r="CBJ5" s="9"/>
      <c r="CBK5" s="9"/>
      <c r="CBL5" s="9"/>
      <c r="CBM5" s="9"/>
      <c r="CBN5" s="9"/>
      <c r="CBO5" s="9"/>
      <c r="CBP5" s="9"/>
      <c r="CBQ5" s="9"/>
      <c r="CBR5" s="9"/>
      <c r="CBS5" s="9"/>
      <c r="CBT5" s="9"/>
      <c r="CBU5" s="9"/>
      <c r="CBV5" s="9"/>
      <c r="CBW5" s="9"/>
      <c r="CBX5" s="9"/>
      <c r="CBY5" s="9"/>
      <c r="CBZ5" s="9"/>
      <c r="CCA5" s="9"/>
      <c r="CCB5" s="9"/>
      <c r="CCC5" s="9"/>
      <c r="CCD5" s="9"/>
      <c r="CCE5" s="9"/>
      <c r="CCF5" s="9"/>
      <c r="CCG5" s="9"/>
      <c r="CCH5" s="9"/>
      <c r="CCI5" s="9"/>
      <c r="CCJ5" s="9"/>
      <c r="CCK5" s="9"/>
      <c r="CCL5" s="9"/>
      <c r="CCM5" s="9"/>
      <c r="CCN5" s="9"/>
      <c r="CCO5" s="9"/>
      <c r="CCP5" s="9"/>
      <c r="CCQ5" s="9"/>
      <c r="CCR5" s="9"/>
      <c r="CCS5" s="9"/>
      <c r="CCT5" s="9"/>
      <c r="CCU5" s="9"/>
      <c r="CCV5" s="9"/>
      <c r="CCW5" s="9"/>
      <c r="CCX5" s="9"/>
      <c r="CCY5" s="9"/>
      <c r="CCZ5" s="9"/>
      <c r="CDA5" s="9"/>
      <c r="CDB5" s="9"/>
      <c r="CDC5" s="9"/>
      <c r="CDD5" s="9"/>
      <c r="CDE5" s="9"/>
      <c r="CDF5" s="9"/>
      <c r="CDG5" s="9"/>
      <c r="CDH5" s="9"/>
      <c r="CDI5" s="9"/>
      <c r="CDJ5" s="9"/>
      <c r="CDK5" s="9"/>
      <c r="CDL5" s="9"/>
      <c r="CDM5" s="9"/>
      <c r="CDN5" s="9"/>
      <c r="CDO5" s="9"/>
      <c r="CDP5" s="9"/>
      <c r="CDQ5" s="9"/>
      <c r="CDR5" s="9"/>
      <c r="CDS5" s="9"/>
      <c r="CDT5" s="9"/>
      <c r="CDU5" s="9"/>
      <c r="CDV5" s="9"/>
      <c r="CDW5" s="9"/>
      <c r="CDX5" s="9"/>
      <c r="CDY5" s="9"/>
      <c r="CDZ5" s="9"/>
      <c r="CEA5" s="9"/>
      <c r="CEB5" s="9"/>
      <c r="CEC5" s="9"/>
      <c r="CED5" s="9"/>
      <c r="CEE5" s="9"/>
      <c r="CEF5" s="9"/>
      <c r="CEG5" s="9"/>
      <c r="CEH5" s="9"/>
      <c r="CEI5" s="9"/>
      <c r="CEJ5" s="9"/>
      <c r="CEK5" s="9"/>
      <c r="CEL5" s="9"/>
      <c r="CEM5" s="9"/>
      <c r="CEN5" s="9"/>
      <c r="CEO5" s="9"/>
      <c r="CEP5" s="9"/>
      <c r="CEQ5" s="9"/>
      <c r="CER5" s="9"/>
      <c r="CES5" s="9"/>
      <c r="CET5" s="9"/>
      <c r="CEU5" s="9"/>
      <c r="CEV5" s="9"/>
      <c r="CEW5" s="9"/>
      <c r="CEX5" s="9"/>
      <c r="CEY5" s="9"/>
      <c r="CEZ5" s="9"/>
      <c r="CFA5" s="9"/>
      <c r="CFB5" s="9"/>
      <c r="CFC5" s="9"/>
      <c r="CFD5" s="9"/>
      <c r="CFE5" s="9"/>
      <c r="CFF5" s="9"/>
      <c r="CFG5" s="9"/>
      <c r="CFH5" s="9"/>
      <c r="CFI5" s="9"/>
      <c r="CFJ5" s="9"/>
      <c r="CFK5" s="9"/>
      <c r="CFL5" s="9"/>
      <c r="CFM5" s="9"/>
      <c r="CFN5" s="9"/>
      <c r="CFO5" s="9"/>
      <c r="CFP5" s="9"/>
      <c r="CFQ5" s="9"/>
      <c r="CFR5" s="9"/>
      <c r="CFS5" s="9"/>
      <c r="CFT5" s="9"/>
      <c r="CFU5" s="9"/>
      <c r="CFV5" s="9"/>
      <c r="CFW5" s="9"/>
      <c r="CFX5" s="9"/>
      <c r="CFY5" s="9"/>
      <c r="CFZ5" s="9"/>
      <c r="CGA5" s="9"/>
      <c r="CGB5" s="9"/>
      <c r="CGC5" s="9"/>
      <c r="CGD5" s="9"/>
      <c r="CGE5" s="9"/>
      <c r="CGF5" s="9"/>
      <c r="CGG5" s="9"/>
      <c r="CGH5" s="9"/>
      <c r="CGI5" s="9"/>
      <c r="CGJ5" s="9"/>
      <c r="CGK5" s="9"/>
      <c r="CGL5" s="9"/>
      <c r="CGM5" s="9"/>
      <c r="CGN5" s="9"/>
      <c r="CGO5" s="9"/>
      <c r="CGP5" s="9"/>
      <c r="CGQ5" s="9"/>
      <c r="CGR5" s="9"/>
      <c r="CGS5" s="9"/>
      <c r="CGT5" s="9"/>
      <c r="CGU5" s="9"/>
      <c r="CGV5" s="9"/>
      <c r="CGW5" s="9"/>
      <c r="CGX5" s="9"/>
      <c r="CGY5" s="9"/>
      <c r="CGZ5" s="9"/>
      <c r="CHA5" s="9"/>
      <c r="CHB5" s="9"/>
      <c r="CHC5" s="9"/>
      <c r="CHD5" s="9"/>
      <c r="CHE5" s="9"/>
      <c r="CHF5" s="9"/>
      <c r="CHG5" s="9"/>
      <c r="CHH5" s="9"/>
      <c r="CHI5" s="9"/>
      <c r="CHJ5" s="9"/>
      <c r="CHK5" s="9"/>
      <c r="CHL5" s="9"/>
      <c r="CHM5" s="9"/>
      <c r="CHN5" s="9"/>
      <c r="CHO5" s="9"/>
      <c r="CHP5" s="9"/>
      <c r="CHQ5" s="9"/>
      <c r="CHR5" s="9"/>
      <c r="CHS5" s="9"/>
      <c r="CHT5" s="9"/>
      <c r="CHU5" s="9"/>
      <c r="CHV5" s="9"/>
      <c r="CHW5" s="9"/>
      <c r="CHX5" s="9"/>
      <c r="CHY5" s="9"/>
      <c r="CHZ5" s="9"/>
      <c r="CIA5" s="9"/>
      <c r="CIB5" s="9"/>
      <c r="CIC5" s="9"/>
      <c r="CID5" s="9"/>
      <c r="CIE5" s="9"/>
      <c r="CIF5" s="9"/>
      <c r="CIG5" s="9"/>
      <c r="CIH5" s="9"/>
      <c r="CII5" s="9"/>
      <c r="CIJ5" s="9"/>
      <c r="CIK5" s="9"/>
      <c r="CIL5" s="9"/>
      <c r="CIM5" s="9"/>
      <c r="CIN5" s="9"/>
      <c r="CIO5" s="9"/>
      <c r="CIP5" s="9"/>
      <c r="CIQ5" s="9"/>
      <c r="CIR5" s="9"/>
      <c r="CIS5" s="9"/>
      <c r="CIT5" s="9"/>
      <c r="CIU5" s="9"/>
      <c r="CIV5" s="9"/>
      <c r="CIW5" s="9"/>
      <c r="CIX5" s="9"/>
      <c r="CIY5" s="9"/>
      <c r="CIZ5" s="9"/>
      <c r="CJA5" s="9"/>
      <c r="CJB5" s="9"/>
      <c r="CJC5" s="9"/>
      <c r="CJD5" s="9"/>
      <c r="CJE5" s="9"/>
      <c r="CJF5" s="9"/>
      <c r="CJG5" s="9"/>
      <c r="CJH5" s="9"/>
      <c r="CJI5" s="9"/>
      <c r="CJJ5" s="9"/>
      <c r="CJK5" s="9"/>
      <c r="CJL5" s="9"/>
      <c r="CJM5" s="9"/>
      <c r="CJN5" s="9"/>
      <c r="CJO5" s="9"/>
      <c r="CJP5" s="9"/>
      <c r="CJQ5" s="9"/>
      <c r="CJR5" s="9"/>
      <c r="CJS5" s="9"/>
      <c r="CJT5" s="9"/>
      <c r="CJU5" s="9"/>
      <c r="CJV5" s="9"/>
      <c r="CJW5" s="9"/>
      <c r="CJX5" s="9"/>
      <c r="CJY5" s="9"/>
      <c r="CJZ5" s="9"/>
      <c r="CKA5" s="9"/>
      <c r="CKB5" s="9"/>
      <c r="CKC5" s="9"/>
      <c r="CKD5" s="9"/>
      <c r="CKE5" s="9"/>
      <c r="CKF5" s="9"/>
      <c r="CKG5" s="9"/>
      <c r="CKH5" s="9"/>
      <c r="CKI5" s="9"/>
      <c r="CKJ5" s="9"/>
      <c r="CKK5" s="9"/>
      <c r="CKL5" s="9"/>
      <c r="CKM5" s="9"/>
      <c r="CKN5" s="9"/>
    </row>
    <row r="6" spans="1:2328" s="4" customFormat="1" ht="21.6" x14ac:dyDescent="0.3">
      <c r="D6" s="10" t="s">
        <v>8</v>
      </c>
      <c r="E6" s="10" t="s">
        <v>15</v>
      </c>
      <c r="F6" s="12" t="s">
        <v>16</v>
      </c>
      <c r="G6" s="10" t="s">
        <v>39</v>
      </c>
      <c r="H6" s="10" t="s">
        <v>9</v>
      </c>
      <c r="I6" s="16">
        <f>COUNTIF(tasksta[Maintenancier],maintenanciers[[#This Row],[Nom complet]])</f>
        <v>5</v>
      </c>
      <c r="J6" s="10" t="s">
        <v>51</v>
      </c>
      <c r="Z6" s="4">
        <f>COUNTIF(tasksta[Maintenancier],Maintenanciers_list!D6)</f>
        <v>5</v>
      </c>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c r="AMK6" s="9"/>
      <c r="AML6" s="9"/>
      <c r="AMM6" s="9"/>
      <c r="AMN6" s="9"/>
      <c r="AMO6" s="9"/>
      <c r="AMP6" s="9"/>
      <c r="AMQ6" s="9"/>
      <c r="AMR6" s="9"/>
      <c r="AMS6" s="9"/>
      <c r="AMT6" s="9"/>
      <c r="AMU6" s="9"/>
      <c r="AMV6" s="9"/>
      <c r="AMW6" s="9"/>
      <c r="AMX6" s="9"/>
      <c r="AMY6" s="9"/>
      <c r="AMZ6" s="9"/>
      <c r="ANA6" s="9"/>
      <c r="ANB6" s="9"/>
      <c r="ANC6" s="9"/>
      <c r="AND6" s="9"/>
      <c r="ANE6" s="9"/>
      <c r="ANF6" s="9"/>
      <c r="ANG6" s="9"/>
      <c r="ANH6" s="9"/>
      <c r="ANI6" s="9"/>
      <c r="ANJ6" s="9"/>
      <c r="ANK6" s="9"/>
      <c r="ANL6" s="9"/>
      <c r="ANM6" s="9"/>
      <c r="ANN6" s="9"/>
      <c r="ANO6" s="9"/>
      <c r="ANP6" s="9"/>
      <c r="ANQ6" s="9"/>
      <c r="ANR6" s="9"/>
      <c r="ANS6" s="9"/>
      <c r="ANT6" s="9"/>
      <c r="ANU6" s="9"/>
      <c r="ANV6" s="9"/>
      <c r="ANW6" s="9"/>
      <c r="ANX6" s="9"/>
      <c r="ANY6" s="9"/>
      <c r="ANZ6" s="9"/>
      <c r="AOA6" s="9"/>
      <c r="AOB6" s="9"/>
      <c r="AOC6" s="9"/>
      <c r="AOD6" s="9"/>
      <c r="AOE6" s="9"/>
      <c r="AOF6" s="9"/>
      <c r="AOG6" s="9"/>
      <c r="AOH6" s="9"/>
      <c r="AOI6" s="9"/>
      <c r="AOJ6" s="9"/>
      <c r="AOK6" s="9"/>
      <c r="AOL6" s="9"/>
      <c r="AOM6" s="9"/>
      <c r="AON6" s="9"/>
      <c r="AOO6" s="9"/>
      <c r="AOP6" s="9"/>
      <c r="AOQ6" s="9"/>
      <c r="AOR6" s="9"/>
      <c r="AOS6" s="9"/>
      <c r="AOT6" s="9"/>
      <c r="AOU6" s="9"/>
      <c r="AOV6" s="9"/>
      <c r="AOW6" s="9"/>
      <c r="AOX6" s="9"/>
      <c r="AOY6" s="9"/>
      <c r="AOZ6" s="9"/>
      <c r="APA6" s="9"/>
      <c r="APB6" s="9"/>
      <c r="APC6" s="9"/>
      <c r="APD6" s="9"/>
      <c r="APE6" s="9"/>
      <c r="APF6" s="9"/>
      <c r="APG6" s="9"/>
      <c r="APH6" s="9"/>
      <c r="API6" s="9"/>
      <c r="APJ6" s="9"/>
      <c r="APK6" s="9"/>
      <c r="APL6" s="9"/>
      <c r="APM6" s="9"/>
      <c r="APN6" s="9"/>
      <c r="APO6" s="9"/>
      <c r="APP6" s="9"/>
      <c r="APQ6" s="9"/>
      <c r="APR6" s="9"/>
      <c r="APS6" s="9"/>
      <c r="APT6" s="9"/>
      <c r="APU6" s="9"/>
      <c r="APV6" s="9"/>
      <c r="APW6" s="9"/>
      <c r="APX6" s="9"/>
      <c r="APY6" s="9"/>
      <c r="APZ6" s="9"/>
      <c r="AQA6" s="9"/>
      <c r="AQB6" s="9"/>
      <c r="AQC6" s="9"/>
      <c r="AQD6" s="9"/>
      <c r="AQE6" s="9"/>
      <c r="AQF6" s="9"/>
      <c r="AQG6" s="9"/>
      <c r="AQH6" s="9"/>
      <c r="AQI6" s="9"/>
      <c r="AQJ6" s="9"/>
      <c r="AQK6" s="9"/>
      <c r="AQL6" s="9"/>
      <c r="AQM6" s="9"/>
      <c r="AQN6" s="9"/>
      <c r="AQO6" s="9"/>
      <c r="AQP6" s="9"/>
      <c r="AQQ6" s="9"/>
      <c r="AQR6" s="9"/>
      <c r="AQS6" s="9"/>
      <c r="AQT6" s="9"/>
      <c r="AQU6" s="9"/>
      <c r="AQV6" s="9"/>
      <c r="AQW6" s="9"/>
      <c r="AQX6" s="9"/>
      <c r="AQY6" s="9"/>
      <c r="AQZ6" s="9"/>
      <c r="ARA6" s="9"/>
      <c r="ARB6" s="9"/>
      <c r="ARC6" s="9"/>
      <c r="ARD6" s="9"/>
      <c r="ARE6" s="9"/>
      <c r="ARF6" s="9"/>
      <c r="ARG6" s="9"/>
      <c r="ARH6" s="9"/>
      <c r="ARI6" s="9"/>
      <c r="ARJ6" s="9"/>
      <c r="ARK6" s="9"/>
      <c r="ARL6" s="9"/>
      <c r="ARM6" s="9"/>
      <c r="ARN6" s="9"/>
      <c r="ARO6" s="9"/>
      <c r="ARP6" s="9"/>
      <c r="ARQ6" s="9"/>
      <c r="ARR6" s="9"/>
      <c r="ARS6" s="9"/>
      <c r="ART6" s="9"/>
      <c r="ARU6" s="9"/>
      <c r="ARV6" s="9"/>
      <c r="ARW6" s="9"/>
      <c r="ARX6" s="9"/>
      <c r="ARY6" s="9"/>
      <c r="ARZ6" s="9"/>
      <c r="ASA6" s="9"/>
      <c r="ASB6" s="9"/>
      <c r="ASC6" s="9"/>
      <c r="ASD6" s="9"/>
      <c r="ASE6" s="9"/>
      <c r="ASF6" s="9"/>
      <c r="ASG6" s="9"/>
      <c r="ASH6" s="9"/>
      <c r="ASI6" s="9"/>
      <c r="ASJ6" s="9"/>
      <c r="ASK6" s="9"/>
      <c r="ASL6" s="9"/>
      <c r="ASM6" s="9"/>
      <c r="ASN6" s="9"/>
      <c r="ASO6" s="9"/>
      <c r="ASP6" s="9"/>
      <c r="ASQ6" s="9"/>
      <c r="ASR6" s="9"/>
      <c r="ASS6" s="9"/>
      <c r="AST6" s="9"/>
      <c r="ASU6" s="9"/>
      <c r="ASV6" s="9"/>
      <c r="ASW6" s="9"/>
      <c r="ASX6" s="9"/>
      <c r="ASY6" s="9"/>
      <c r="ASZ6" s="9"/>
      <c r="ATA6" s="9"/>
      <c r="ATB6" s="9"/>
      <c r="ATC6" s="9"/>
      <c r="ATD6" s="9"/>
      <c r="ATE6" s="9"/>
      <c r="ATF6" s="9"/>
      <c r="ATG6" s="9"/>
      <c r="ATH6" s="9"/>
      <c r="ATI6" s="9"/>
      <c r="ATJ6" s="9"/>
      <c r="ATK6" s="9"/>
      <c r="ATL6" s="9"/>
      <c r="ATM6" s="9"/>
      <c r="ATN6" s="9"/>
      <c r="ATO6" s="9"/>
      <c r="ATP6" s="9"/>
      <c r="ATQ6" s="9"/>
      <c r="ATR6" s="9"/>
      <c r="ATS6" s="9"/>
      <c r="ATT6" s="9"/>
      <c r="ATU6" s="9"/>
      <c r="ATV6" s="9"/>
      <c r="ATW6" s="9"/>
      <c r="ATX6" s="9"/>
      <c r="ATY6" s="9"/>
      <c r="ATZ6" s="9"/>
      <c r="AUA6" s="9"/>
      <c r="AUB6" s="9"/>
      <c r="AUC6" s="9"/>
      <c r="AUD6" s="9"/>
      <c r="AUE6" s="9"/>
      <c r="AUF6" s="9"/>
      <c r="AUG6" s="9"/>
      <c r="AUH6" s="9"/>
      <c r="AUI6" s="9"/>
      <c r="AUJ6" s="9"/>
      <c r="AUK6" s="9"/>
      <c r="AUL6" s="9"/>
      <c r="AUM6" s="9"/>
      <c r="AUN6" s="9"/>
      <c r="AUO6" s="9"/>
      <c r="AUP6" s="9"/>
      <c r="AUQ6" s="9"/>
      <c r="AUR6" s="9"/>
      <c r="AUS6" s="9"/>
      <c r="AUT6" s="9"/>
      <c r="AUU6" s="9"/>
      <c r="AUV6" s="9"/>
      <c r="AUW6" s="9"/>
      <c r="AUX6" s="9"/>
      <c r="AUY6" s="9"/>
      <c r="AUZ6" s="9"/>
      <c r="AVA6" s="9"/>
      <c r="AVB6" s="9"/>
      <c r="AVC6" s="9"/>
      <c r="AVD6" s="9"/>
      <c r="AVE6" s="9"/>
      <c r="AVF6" s="9"/>
      <c r="AVG6" s="9"/>
      <c r="AVH6" s="9"/>
      <c r="AVI6" s="9"/>
      <c r="AVJ6" s="9"/>
      <c r="AVK6" s="9"/>
      <c r="AVL6" s="9"/>
      <c r="AVM6" s="9"/>
      <c r="AVN6" s="9"/>
      <c r="AVO6" s="9"/>
      <c r="AVP6" s="9"/>
      <c r="AVQ6" s="9"/>
      <c r="AVR6" s="9"/>
      <c r="AVS6" s="9"/>
      <c r="AVT6" s="9"/>
      <c r="AVU6" s="9"/>
      <c r="AVV6" s="9"/>
      <c r="AVW6" s="9"/>
      <c r="AVX6" s="9"/>
      <c r="AVY6" s="9"/>
      <c r="AVZ6" s="9"/>
      <c r="AWA6" s="9"/>
      <c r="AWB6" s="9"/>
      <c r="AWC6" s="9"/>
      <c r="AWD6" s="9"/>
      <c r="AWE6" s="9"/>
      <c r="AWF6" s="9"/>
      <c r="AWG6" s="9"/>
      <c r="AWH6" s="9"/>
      <c r="AWI6" s="9"/>
      <c r="AWJ6" s="9"/>
      <c r="AWK6" s="9"/>
      <c r="AWL6" s="9"/>
      <c r="AWM6" s="9"/>
      <c r="AWN6" s="9"/>
      <c r="AWO6" s="9"/>
      <c r="AWP6" s="9"/>
      <c r="AWQ6" s="9"/>
      <c r="AWR6" s="9"/>
      <c r="AWS6" s="9"/>
      <c r="AWT6" s="9"/>
      <c r="AWU6" s="9"/>
      <c r="AWV6" s="9"/>
      <c r="AWW6" s="9"/>
      <c r="AWX6" s="9"/>
      <c r="AWY6" s="9"/>
      <c r="AWZ6" s="9"/>
      <c r="AXA6" s="9"/>
      <c r="AXB6" s="9"/>
      <c r="AXC6" s="9"/>
      <c r="AXD6" s="9"/>
      <c r="AXE6" s="9"/>
      <c r="AXF6" s="9"/>
      <c r="AXG6" s="9"/>
      <c r="AXH6" s="9"/>
      <c r="AXI6" s="9"/>
      <c r="AXJ6" s="9"/>
      <c r="AXK6" s="9"/>
      <c r="AXL6" s="9"/>
      <c r="AXM6" s="9"/>
      <c r="AXN6" s="9"/>
      <c r="AXO6" s="9"/>
      <c r="AXP6" s="9"/>
      <c r="AXQ6" s="9"/>
      <c r="AXR6" s="9"/>
      <c r="AXS6" s="9"/>
      <c r="AXT6" s="9"/>
      <c r="AXU6" s="9"/>
      <c r="AXV6" s="9"/>
      <c r="AXW6" s="9"/>
      <c r="AXX6" s="9"/>
      <c r="AXY6" s="9"/>
      <c r="AXZ6" s="9"/>
      <c r="AYA6" s="9"/>
      <c r="AYB6" s="9"/>
      <c r="AYC6" s="9"/>
      <c r="AYD6" s="9"/>
      <c r="AYE6" s="9"/>
      <c r="AYF6" s="9"/>
      <c r="AYG6" s="9"/>
      <c r="AYH6" s="9"/>
      <c r="AYI6" s="9"/>
      <c r="AYJ6" s="9"/>
      <c r="AYK6" s="9"/>
      <c r="AYL6" s="9"/>
      <c r="AYM6" s="9"/>
      <c r="AYN6" s="9"/>
      <c r="AYO6" s="9"/>
      <c r="AYP6" s="9"/>
      <c r="AYQ6" s="9"/>
      <c r="AYR6" s="9"/>
      <c r="AYS6" s="9"/>
      <c r="AYT6" s="9"/>
      <c r="AYU6" s="9"/>
      <c r="AYV6" s="9"/>
      <c r="AYW6" s="9"/>
      <c r="AYX6" s="9"/>
      <c r="AYY6" s="9"/>
      <c r="AYZ6" s="9"/>
      <c r="AZA6" s="9"/>
      <c r="AZB6" s="9"/>
      <c r="AZC6" s="9"/>
      <c r="AZD6" s="9"/>
      <c r="AZE6" s="9"/>
      <c r="AZF6" s="9"/>
      <c r="AZG6" s="9"/>
      <c r="AZH6" s="9"/>
      <c r="AZI6" s="9"/>
      <c r="AZJ6" s="9"/>
      <c r="AZK6" s="9"/>
      <c r="AZL6" s="9"/>
      <c r="AZM6" s="9"/>
      <c r="AZN6" s="9"/>
      <c r="AZO6" s="9"/>
      <c r="AZP6" s="9"/>
      <c r="AZQ6" s="9"/>
      <c r="AZR6" s="9"/>
      <c r="AZS6" s="9"/>
      <c r="AZT6" s="9"/>
      <c r="AZU6" s="9"/>
      <c r="AZV6" s="9"/>
      <c r="AZW6" s="9"/>
      <c r="AZX6" s="9"/>
      <c r="AZY6" s="9"/>
      <c r="AZZ6" s="9"/>
      <c r="BAA6" s="9"/>
      <c r="BAB6" s="9"/>
      <c r="BAC6" s="9"/>
      <c r="BAD6" s="9"/>
      <c r="BAE6" s="9"/>
      <c r="BAF6" s="9"/>
      <c r="BAG6" s="9"/>
      <c r="BAH6" s="9"/>
      <c r="BAI6" s="9"/>
      <c r="BAJ6" s="9"/>
      <c r="BAK6" s="9"/>
      <c r="BAL6" s="9"/>
      <c r="BAM6" s="9"/>
      <c r="BAN6" s="9"/>
      <c r="BAO6" s="9"/>
      <c r="BAP6" s="9"/>
      <c r="BAQ6" s="9"/>
      <c r="BAR6" s="9"/>
      <c r="BAS6" s="9"/>
      <c r="BAT6" s="9"/>
      <c r="BAU6" s="9"/>
      <c r="BAV6" s="9"/>
      <c r="BAW6" s="9"/>
      <c r="BAX6" s="9"/>
      <c r="BAY6" s="9"/>
      <c r="BAZ6" s="9"/>
      <c r="BBA6" s="9"/>
      <c r="BBB6" s="9"/>
      <c r="BBC6" s="9"/>
      <c r="BBD6" s="9"/>
      <c r="BBE6" s="9"/>
      <c r="BBF6" s="9"/>
      <c r="BBG6" s="9"/>
      <c r="BBH6" s="9"/>
      <c r="BBI6" s="9"/>
      <c r="BBJ6" s="9"/>
      <c r="BBK6" s="9"/>
      <c r="BBL6" s="9"/>
      <c r="BBM6" s="9"/>
      <c r="BBN6" s="9"/>
      <c r="BBO6" s="9"/>
      <c r="BBP6" s="9"/>
      <c r="BBQ6" s="9"/>
      <c r="BBR6" s="9"/>
      <c r="BBS6" s="9"/>
      <c r="BBT6" s="9"/>
      <c r="BBU6" s="9"/>
      <c r="BBV6" s="9"/>
      <c r="BBW6" s="9"/>
      <c r="BBX6" s="9"/>
      <c r="BBY6" s="9"/>
      <c r="BBZ6" s="9"/>
      <c r="BCA6" s="9"/>
      <c r="BCB6" s="9"/>
      <c r="BCC6" s="9"/>
      <c r="BCD6" s="9"/>
      <c r="BCE6" s="9"/>
      <c r="BCF6" s="9"/>
      <c r="BCG6" s="9"/>
      <c r="BCH6" s="9"/>
      <c r="BCI6" s="9"/>
      <c r="BCJ6" s="9"/>
      <c r="BCK6" s="9"/>
      <c r="BCL6" s="9"/>
      <c r="BCM6" s="9"/>
      <c r="BCN6" s="9"/>
      <c r="BCO6" s="9"/>
      <c r="BCP6" s="9"/>
      <c r="BCQ6" s="9"/>
      <c r="BCR6" s="9"/>
      <c r="BCS6" s="9"/>
      <c r="BCT6" s="9"/>
      <c r="BCU6" s="9"/>
      <c r="BCV6" s="9"/>
      <c r="BCW6" s="9"/>
      <c r="BCX6" s="9"/>
      <c r="BCY6" s="9"/>
      <c r="BCZ6" s="9"/>
      <c r="BDA6" s="9"/>
      <c r="BDB6" s="9"/>
      <c r="BDC6" s="9"/>
      <c r="BDD6" s="9"/>
      <c r="BDE6" s="9"/>
      <c r="BDF6" s="9"/>
      <c r="BDG6" s="9"/>
      <c r="BDH6" s="9"/>
      <c r="BDI6" s="9"/>
      <c r="BDJ6" s="9"/>
      <c r="BDK6" s="9"/>
      <c r="BDL6" s="9"/>
      <c r="BDM6" s="9"/>
      <c r="BDN6" s="9"/>
      <c r="BDO6" s="9"/>
      <c r="BDP6" s="9"/>
      <c r="BDQ6" s="9"/>
      <c r="BDR6" s="9"/>
      <c r="BDS6" s="9"/>
      <c r="BDT6" s="9"/>
      <c r="BDU6" s="9"/>
      <c r="BDV6" s="9"/>
      <c r="BDW6" s="9"/>
      <c r="BDX6" s="9"/>
      <c r="BDY6" s="9"/>
      <c r="BDZ6" s="9"/>
      <c r="BEA6" s="9"/>
      <c r="BEB6" s="9"/>
      <c r="BEC6" s="9"/>
      <c r="BED6" s="9"/>
      <c r="BEE6" s="9"/>
      <c r="BEF6" s="9"/>
      <c r="BEG6" s="9"/>
      <c r="BEH6" s="9"/>
      <c r="BEI6" s="9"/>
      <c r="BEJ6" s="9"/>
      <c r="BEK6" s="9"/>
      <c r="BEL6" s="9"/>
      <c r="BEM6" s="9"/>
      <c r="BEN6" s="9"/>
      <c r="BEO6" s="9"/>
      <c r="BEP6" s="9"/>
      <c r="BEQ6" s="9"/>
      <c r="BER6" s="9"/>
      <c r="BES6" s="9"/>
      <c r="BET6" s="9"/>
      <c r="BEU6" s="9"/>
      <c r="BEV6" s="9"/>
      <c r="BEW6" s="9"/>
      <c r="BEX6" s="9"/>
      <c r="BEY6" s="9"/>
      <c r="BEZ6" s="9"/>
      <c r="BFA6" s="9"/>
      <c r="BFB6" s="9"/>
      <c r="BFC6" s="9"/>
      <c r="BFD6" s="9"/>
      <c r="BFE6" s="9"/>
      <c r="BFF6" s="9"/>
      <c r="BFG6" s="9"/>
      <c r="BFH6" s="9"/>
      <c r="BFI6" s="9"/>
      <c r="BFJ6" s="9"/>
      <c r="BFK6" s="9"/>
      <c r="BFL6" s="9"/>
      <c r="BFM6" s="9"/>
      <c r="BFN6" s="9"/>
      <c r="BFO6" s="9"/>
      <c r="BFP6" s="9"/>
      <c r="BFQ6" s="9"/>
      <c r="BFR6" s="9"/>
      <c r="BFS6" s="9"/>
      <c r="BFT6" s="9"/>
      <c r="BFU6" s="9"/>
      <c r="BFV6" s="9"/>
      <c r="BFW6" s="9"/>
      <c r="BFX6" s="9"/>
      <c r="BFY6" s="9"/>
      <c r="BFZ6" s="9"/>
      <c r="BGA6" s="9"/>
      <c r="BGB6" s="9"/>
      <c r="BGC6" s="9"/>
      <c r="BGD6" s="9"/>
      <c r="BGE6" s="9"/>
      <c r="BGF6" s="9"/>
      <c r="BGG6" s="9"/>
      <c r="BGH6" s="9"/>
      <c r="BGI6" s="9"/>
      <c r="BGJ6" s="9"/>
      <c r="BGK6" s="9"/>
      <c r="BGL6" s="9"/>
      <c r="BGM6" s="9"/>
      <c r="BGN6" s="9"/>
      <c r="BGO6" s="9"/>
      <c r="BGP6" s="9"/>
      <c r="BGQ6" s="9"/>
      <c r="BGR6" s="9"/>
      <c r="BGS6" s="9"/>
      <c r="BGT6" s="9"/>
      <c r="BGU6" s="9"/>
      <c r="BGV6" s="9"/>
      <c r="BGW6" s="9"/>
      <c r="BGX6" s="9"/>
      <c r="BGY6" s="9"/>
      <c r="BGZ6" s="9"/>
      <c r="BHA6" s="9"/>
      <c r="BHB6" s="9"/>
      <c r="BHC6" s="9"/>
      <c r="BHD6" s="9"/>
      <c r="BHE6" s="9"/>
      <c r="BHF6" s="9"/>
      <c r="BHG6" s="9"/>
      <c r="BHH6" s="9"/>
      <c r="BHI6" s="9"/>
      <c r="BHJ6" s="9"/>
      <c r="BHK6" s="9"/>
      <c r="BHL6" s="9"/>
      <c r="BHM6" s="9"/>
      <c r="BHN6" s="9"/>
      <c r="BHO6" s="9"/>
      <c r="BHP6" s="9"/>
      <c r="BHQ6" s="9"/>
      <c r="BHR6" s="9"/>
      <c r="BHS6" s="9"/>
      <c r="BHT6" s="9"/>
      <c r="BHU6" s="9"/>
      <c r="BHV6" s="9"/>
      <c r="BHW6" s="9"/>
      <c r="BHX6" s="9"/>
      <c r="BHY6" s="9"/>
      <c r="BHZ6" s="9"/>
      <c r="BIA6" s="9"/>
      <c r="BIB6" s="9"/>
      <c r="BIC6" s="9"/>
      <c r="BID6" s="9"/>
      <c r="BIE6" s="9"/>
      <c r="BIF6" s="9"/>
      <c r="BIG6" s="9"/>
      <c r="BIH6" s="9"/>
      <c r="BII6" s="9"/>
      <c r="BIJ6" s="9"/>
      <c r="BIK6" s="9"/>
      <c r="BIL6" s="9"/>
      <c r="BIM6" s="9"/>
      <c r="BIN6" s="9"/>
      <c r="BIO6" s="9"/>
      <c r="BIP6" s="9"/>
      <c r="BIQ6" s="9"/>
      <c r="BIR6" s="9"/>
      <c r="BIS6" s="9"/>
      <c r="BIT6" s="9"/>
      <c r="BIU6" s="9"/>
      <c r="BIV6" s="9"/>
      <c r="BIW6" s="9"/>
      <c r="BIX6" s="9"/>
      <c r="BIY6" s="9"/>
      <c r="BIZ6" s="9"/>
      <c r="BJA6" s="9"/>
      <c r="BJB6" s="9"/>
      <c r="BJC6" s="9"/>
      <c r="BJD6" s="9"/>
      <c r="BJE6" s="9"/>
      <c r="BJF6" s="9"/>
      <c r="BJG6" s="9"/>
      <c r="BJH6" s="9"/>
      <c r="BJI6" s="9"/>
      <c r="BJJ6" s="9"/>
      <c r="BJK6" s="9"/>
      <c r="BJL6" s="9"/>
      <c r="BJM6" s="9"/>
      <c r="BJN6" s="9"/>
      <c r="BJO6" s="9"/>
      <c r="BJP6" s="9"/>
      <c r="BJQ6" s="9"/>
      <c r="BJR6" s="9"/>
      <c r="BJS6" s="9"/>
      <c r="BJT6" s="9"/>
      <c r="BJU6" s="9"/>
      <c r="BJV6" s="9"/>
      <c r="BJW6" s="9"/>
      <c r="BJX6" s="9"/>
      <c r="BJY6" s="9"/>
      <c r="BJZ6" s="9"/>
      <c r="BKA6" s="9"/>
      <c r="BKB6" s="9"/>
      <c r="BKC6" s="9"/>
      <c r="BKD6" s="9"/>
      <c r="BKE6" s="9"/>
      <c r="BKF6" s="9"/>
      <c r="BKG6" s="9"/>
      <c r="BKH6" s="9"/>
      <c r="BKI6" s="9"/>
      <c r="BKJ6" s="9"/>
      <c r="BKK6" s="9"/>
      <c r="BKL6" s="9"/>
      <c r="BKM6" s="9"/>
      <c r="BKN6" s="9"/>
      <c r="BKO6" s="9"/>
      <c r="BKP6" s="9"/>
      <c r="BKQ6" s="9"/>
      <c r="BKR6" s="9"/>
      <c r="BKS6" s="9"/>
      <c r="BKT6" s="9"/>
      <c r="BKU6" s="9"/>
      <c r="BKV6" s="9"/>
      <c r="BKW6" s="9"/>
      <c r="BKX6" s="9"/>
      <c r="BKY6" s="9"/>
      <c r="BKZ6" s="9"/>
      <c r="BLA6" s="9"/>
      <c r="BLB6" s="9"/>
      <c r="BLC6" s="9"/>
      <c r="BLD6" s="9"/>
      <c r="BLE6" s="9"/>
      <c r="BLF6" s="9"/>
      <c r="BLG6" s="9"/>
      <c r="BLH6" s="9"/>
      <c r="BLI6" s="9"/>
      <c r="BLJ6" s="9"/>
      <c r="BLK6" s="9"/>
      <c r="BLL6" s="9"/>
      <c r="BLM6" s="9"/>
      <c r="BLN6" s="9"/>
      <c r="BLO6" s="9"/>
      <c r="BLP6" s="9"/>
      <c r="BLQ6" s="9"/>
      <c r="BLR6" s="9"/>
      <c r="BLS6" s="9"/>
      <c r="BLT6" s="9"/>
      <c r="BLU6" s="9"/>
      <c r="BLV6" s="9"/>
      <c r="BLW6" s="9"/>
      <c r="BLX6" s="9"/>
      <c r="BLY6" s="9"/>
      <c r="BLZ6" s="9"/>
      <c r="BMA6" s="9"/>
      <c r="BMB6" s="9"/>
      <c r="BMC6" s="9"/>
      <c r="BMD6" s="9"/>
      <c r="BME6" s="9"/>
      <c r="BMF6" s="9"/>
      <c r="BMG6" s="9"/>
      <c r="BMH6" s="9"/>
      <c r="BMI6" s="9"/>
      <c r="BMJ6" s="9"/>
      <c r="BMK6" s="9"/>
      <c r="BML6" s="9"/>
      <c r="BMM6" s="9"/>
      <c r="BMN6" s="9"/>
      <c r="BMO6" s="9"/>
      <c r="BMP6" s="9"/>
      <c r="BMQ6" s="9"/>
      <c r="BMR6" s="9"/>
      <c r="BMS6" s="9"/>
      <c r="BMT6" s="9"/>
      <c r="BMU6" s="9"/>
      <c r="BMV6" s="9"/>
      <c r="BMW6" s="9"/>
      <c r="BMX6" s="9"/>
      <c r="BMY6" s="9"/>
      <c r="BMZ6" s="9"/>
      <c r="BNA6" s="9"/>
      <c r="BNB6" s="9"/>
      <c r="BNC6" s="9"/>
      <c r="BND6" s="9"/>
      <c r="BNE6" s="9"/>
      <c r="BNF6" s="9"/>
      <c r="BNG6" s="9"/>
      <c r="BNH6" s="9"/>
      <c r="BNI6" s="9"/>
      <c r="BNJ6" s="9"/>
      <c r="BNK6" s="9"/>
      <c r="BNL6" s="9"/>
      <c r="BNM6" s="9"/>
      <c r="BNN6" s="9"/>
      <c r="BNO6" s="9"/>
      <c r="BNP6" s="9"/>
      <c r="BNQ6" s="9"/>
      <c r="BNR6" s="9"/>
      <c r="BNS6" s="9"/>
      <c r="BNT6" s="9"/>
      <c r="BNU6" s="9"/>
      <c r="BNV6" s="9"/>
      <c r="BNW6" s="9"/>
      <c r="BNX6" s="9"/>
      <c r="BNY6" s="9"/>
      <c r="BNZ6" s="9"/>
      <c r="BOA6" s="9"/>
      <c r="BOB6" s="9"/>
      <c r="BOC6" s="9"/>
      <c r="BOD6" s="9"/>
      <c r="BOE6" s="9"/>
      <c r="BOF6" s="9"/>
      <c r="BOG6" s="9"/>
      <c r="BOH6" s="9"/>
      <c r="BOI6" s="9"/>
      <c r="BOJ6" s="9"/>
      <c r="BOK6" s="9"/>
      <c r="BOL6" s="9"/>
      <c r="BOM6" s="9"/>
      <c r="BON6" s="9"/>
      <c r="BOO6" s="9"/>
      <c r="BOP6" s="9"/>
      <c r="BOQ6" s="9"/>
      <c r="BOR6" s="9"/>
      <c r="BOS6" s="9"/>
      <c r="BOT6" s="9"/>
      <c r="BOU6" s="9"/>
      <c r="BOV6" s="9"/>
      <c r="BOW6" s="9"/>
      <c r="BOX6" s="9"/>
      <c r="BOY6" s="9"/>
      <c r="BOZ6" s="9"/>
      <c r="BPA6" s="9"/>
      <c r="BPB6" s="9"/>
      <c r="BPC6" s="9"/>
      <c r="BPD6" s="9"/>
      <c r="BPE6" s="9"/>
      <c r="BPF6" s="9"/>
      <c r="BPG6" s="9"/>
      <c r="BPH6" s="9"/>
      <c r="BPI6" s="9"/>
      <c r="BPJ6" s="9"/>
      <c r="BPK6" s="9"/>
      <c r="BPL6" s="9"/>
      <c r="BPM6" s="9"/>
      <c r="BPN6" s="9"/>
      <c r="BPO6" s="9"/>
      <c r="BPP6" s="9"/>
      <c r="BPQ6" s="9"/>
      <c r="BPR6" s="9"/>
      <c r="BPS6" s="9"/>
      <c r="BPT6" s="9"/>
      <c r="BPU6" s="9"/>
      <c r="BPV6" s="9"/>
      <c r="BPW6" s="9"/>
      <c r="BPX6" s="9"/>
      <c r="BPY6" s="9"/>
      <c r="BPZ6" s="9"/>
      <c r="BQA6" s="9"/>
      <c r="BQB6" s="9"/>
      <c r="BQC6" s="9"/>
      <c r="BQD6" s="9"/>
      <c r="BQE6" s="9"/>
      <c r="BQF6" s="9"/>
      <c r="BQG6" s="9"/>
      <c r="BQH6" s="9"/>
      <c r="BQI6" s="9"/>
      <c r="BQJ6" s="9"/>
      <c r="BQK6" s="9"/>
      <c r="BQL6" s="9"/>
      <c r="BQM6" s="9"/>
      <c r="BQN6" s="9"/>
      <c r="BQO6" s="9"/>
      <c r="BQP6" s="9"/>
      <c r="BQQ6" s="9"/>
      <c r="BQR6" s="9"/>
      <c r="BQS6" s="9"/>
      <c r="BQT6" s="9"/>
      <c r="BQU6" s="9"/>
      <c r="BQV6" s="9"/>
      <c r="BQW6" s="9"/>
      <c r="BQX6" s="9"/>
      <c r="BQY6" s="9"/>
      <c r="BQZ6" s="9"/>
      <c r="BRA6" s="9"/>
      <c r="BRB6" s="9"/>
      <c r="BRC6" s="9"/>
      <c r="BRD6" s="9"/>
      <c r="BRE6" s="9"/>
      <c r="BRF6" s="9"/>
      <c r="BRG6" s="9"/>
      <c r="BRH6" s="9"/>
      <c r="BRI6" s="9"/>
      <c r="BRJ6" s="9"/>
      <c r="BRK6" s="9"/>
      <c r="BRL6" s="9"/>
      <c r="BRM6" s="9"/>
      <c r="BRN6" s="9"/>
      <c r="BRO6" s="9"/>
      <c r="BRP6" s="9"/>
      <c r="BRQ6" s="9"/>
      <c r="BRR6" s="9"/>
      <c r="BRS6" s="9"/>
      <c r="BRT6" s="9"/>
      <c r="BRU6" s="9"/>
      <c r="BRV6" s="9"/>
      <c r="BRW6" s="9"/>
      <c r="BRX6" s="9"/>
      <c r="BRY6" s="9"/>
      <c r="BRZ6" s="9"/>
      <c r="BSA6" s="9"/>
      <c r="BSB6" s="9"/>
      <c r="BSC6" s="9"/>
      <c r="BSD6" s="9"/>
      <c r="BSE6" s="9"/>
      <c r="BSF6" s="9"/>
      <c r="BSG6" s="9"/>
      <c r="BSH6" s="9"/>
      <c r="BSI6" s="9"/>
      <c r="BSJ6" s="9"/>
      <c r="BSK6" s="9"/>
      <c r="BSL6" s="9"/>
      <c r="BSM6" s="9"/>
      <c r="BSN6" s="9"/>
      <c r="BSO6" s="9"/>
      <c r="BSP6" s="9"/>
      <c r="BSQ6" s="9"/>
      <c r="BSR6" s="9"/>
      <c r="BSS6" s="9"/>
      <c r="BST6" s="9"/>
      <c r="BSU6" s="9"/>
      <c r="BSV6" s="9"/>
      <c r="BSW6" s="9"/>
      <c r="BSX6" s="9"/>
      <c r="BSY6" s="9"/>
      <c r="BSZ6" s="9"/>
      <c r="BTA6" s="9"/>
      <c r="BTB6" s="9"/>
      <c r="BTC6" s="9"/>
      <c r="BTD6" s="9"/>
      <c r="BTE6" s="9"/>
      <c r="BTF6" s="9"/>
      <c r="BTG6" s="9"/>
      <c r="BTH6" s="9"/>
      <c r="BTI6" s="9"/>
      <c r="BTJ6" s="9"/>
      <c r="BTK6" s="9"/>
      <c r="BTL6" s="9"/>
      <c r="BTM6" s="9"/>
      <c r="BTN6" s="9"/>
      <c r="BTO6" s="9"/>
      <c r="BTP6" s="9"/>
      <c r="BTQ6" s="9"/>
      <c r="BTR6" s="9"/>
      <c r="BTS6" s="9"/>
      <c r="BTT6" s="9"/>
      <c r="BTU6" s="9"/>
      <c r="BTV6" s="9"/>
      <c r="BTW6" s="9"/>
      <c r="BTX6" s="9"/>
      <c r="BTY6" s="9"/>
      <c r="BTZ6" s="9"/>
      <c r="BUA6" s="9"/>
      <c r="BUB6" s="9"/>
      <c r="BUC6" s="9"/>
      <c r="BUD6" s="9"/>
      <c r="BUE6" s="9"/>
      <c r="BUF6" s="9"/>
      <c r="BUG6" s="9"/>
      <c r="BUH6" s="9"/>
      <c r="BUI6" s="9"/>
      <c r="BUJ6" s="9"/>
      <c r="BUK6" s="9"/>
      <c r="BUL6" s="9"/>
      <c r="BUM6" s="9"/>
      <c r="BUN6" s="9"/>
      <c r="BUO6" s="9"/>
      <c r="BUP6" s="9"/>
      <c r="BUQ6" s="9"/>
      <c r="BUR6" s="9"/>
      <c r="BUS6" s="9"/>
      <c r="BUT6" s="9"/>
      <c r="BUU6" s="9"/>
      <c r="BUV6" s="9"/>
      <c r="BUW6" s="9"/>
      <c r="BUX6" s="9"/>
      <c r="BUY6" s="9"/>
      <c r="BUZ6" s="9"/>
      <c r="BVA6" s="9"/>
      <c r="BVB6" s="9"/>
      <c r="BVC6" s="9"/>
      <c r="BVD6" s="9"/>
      <c r="BVE6" s="9"/>
      <c r="BVF6" s="9"/>
      <c r="BVG6" s="9"/>
      <c r="BVH6" s="9"/>
      <c r="BVI6" s="9"/>
      <c r="BVJ6" s="9"/>
      <c r="BVK6" s="9"/>
      <c r="BVL6" s="9"/>
      <c r="BVM6" s="9"/>
      <c r="BVN6" s="9"/>
      <c r="BVO6" s="9"/>
      <c r="BVP6" s="9"/>
      <c r="BVQ6" s="9"/>
      <c r="BVR6" s="9"/>
      <c r="BVS6" s="9"/>
      <c r="BVT6" s="9"/>
      <c r="BVU6" s="9"/>
      <c r="BVV6" s="9"/>
      <c r="BVW6" s="9"/>
      <c r="BVX6" s="9"/>
      <c r="BVY6" s="9"/>
      <c r="BVZ6" s="9"/>
      <c r="BWA6" s="9"/>
      <c r="BWB6" s="9"/>
      <c r="BWC6" s="9"/>
      <c r="BWD6" s="9"/>
      <c r="BWE6" s="9"/>
      <c r="BWF6" s="9"/>
      <c r="BWG6" s="9"/>
      <c r="BWH6" s="9"/>
      <c r="BWI6" s="9"/>
      <c r="BWJ6" s="9"/>
      <c r="BWK6" s="9"/>
      <c r="BWL6" s="9"/>
      <c r="BWM6" s="9"/>
      <c r="BWN6" s="9"/>
      <c r="BWO6" s="9"/>
      <c r="BWP6" s="9"/>
      <c r="BWQ6" s="9"/>
      <c r="BWR6" s="9"/>
      <c r="BWS6" s="9"/>
      <c r="BWT6" s="9"/>
      <c r="BWU6" s="9"/>
      <c r="BWV6" s="9"/>
      <c r="BWW6" s="9"/>
      <c r="BWX6" s="9"/>
      <c r="BWY6" s="9"/>
      <c r="BWZ6" s="9"/>
      <c r="BXA6" s="9"/>
      <c r="BXB6" s="9"/>
      <c r="BXC6" s="9"/>
      <c r="BXD6" s="9"/>
      <c r="BXE6" s="9"/>
      <c r="BXF6" s="9"/>
      <c r="BXG6" s="9"/>
      <c r="BXH6" s="9"/>
      <c r="BXI6" s="9"/>
      <c r="BXJ6" s="9"/>
      <c r="BXK6" s="9"/>
      <c r="BXL6" s="9"/>
      <c r="BXM6" s="9"/>
      <c r="BXN6" s="9"/>
      <c r="BXO6" s="9"/>
      <c r="BXP6" s="9"/>
      <c r="BXQ6" s="9"/>
      <c r="BXR6" s="9"/>
      <c r="BXS6" s="9"/>
      <c r="BXT6" s="9"/>
      <c r="BXU6" s="9"/>
      <c r="BXV6" s="9"/>
      <c r="BXW6" s="9"/>
      <c r="BXX6" s="9"/>
      <c r="BXY6" s="9"/>
      <c r="BXZ6" s="9"/>
      <c r="BYA6" s="9"/>
      <c r="BYB6" s="9"/>
      <c r="BYC6" s="9"/>
      <c r="BYD6" s="9"/>
      <c r="BYE6" s="9"/>
      <c r="BYF6" s="9"/>
      <c r="BYG6" s="9"/>
      <c r="BYH6" s="9"/>
      <c r="BYI6" s="9"/>
      <c r="BYJ6" s="9"/>
      <c r="BYK6" s="9"/>
      <c r="BYL6" s="9"/>
      <c r="BYM6" s="9"/>
      <c r="BYN6" s="9"/>
      <c r="BYO6" s="9"/>
      <c r="BYP6" s="9"/>
      <c r="BYQ6" s="9"/>
      <c r="BYR6" s="9"/>
      <c r="BYS6" s="9"/>
      <c r="BYT6" s="9"/>
      <c r="BYU6" s="9"/>
      <c r="BYV6" s="9"/>
      <c r="BYW6" s="9"/>
      <c r="BYX6" s="9"/>
      <c r="BYY6" s="9"/>
      <c r="BYZ6" s="9"/>
      <c r="BZA6" s="9"/>
      <c r="BZB6" s="9"/>
      <c r="BZC6" s="9"/>
      <c r="BZD6" s="9"/>
      <c r="BZE6" s="9"/>
      <c r="BZF6" s="9"/>
      <c r="BZG6" s="9"/>
      <c r="BZH6" s="9"/>
      <c r="BZI6" s="9"/>
      <c r="BZJ6" s="9"/>
      <c r="BZK6" s="9"/>
      <c r="BZL6" s="9"/>
      <c r="BZM6" s="9"/>
      <c r="BZN6" s="9"/>
      <c r="BZO6" s="9"/>
      <c r="BZP6" s="9"/>
      <c r="BZQ6" s="9"/>
      <c r="BZR6" s="9"/>
      <c r="BZS6" s="9"/>
      <c r="BZT6" s="9"/>
      <c r="BZU6" s="9"/>
      <c r="BZV6" s="9"/>
      <c r="BZW6" s="9"/>
      <c r="BZX6" s="9"/>
      <c r="BZY6" s="9"/>
      <c r="BZZ6" s="9"/>
      <c r="CAA6" s="9"/>
      <c r="CAB6" s="9"/>
      <c r="CAC6" s="9"/>
      <c r="CAD6" s="9"/>
      <c r="CAE6" s="9"/>
      <c r="CAF6" s="9"/>
      <c r="CAG6" s="9"/>
      <c r="CAH6" s="9"/>
      <c r="CAI6" s="9"/>
      <c r="CAJ6" s="9"/>
      <c r="CAK6" s="9"/>
      <c r="CAL6" s="9"/>
      <c r="CAM6" s="9"/>
      <c r="CAN6" s="9"/>
      <c r="CAO6" s="9"/>
      <c r="CAP6" s="9"/>
      <c r="CAQ6" s="9"/>
      <c r="CAR6" s="9"/>
      <c r="CAS6" s="9"/>
      <c r="CAT6" s="9"/>
      <c r="CAU6" s="9"/>
      <c r="CAV6" s="9"/>
      <c r="CAW6" s="9"/>
      <c r="CAX6" s="9"/>
      <c r="CAY6" s="9"/>
      <c r="CAZ6" s="9"/>
      <c r="CBA6" s="9"/>
      <c r="CBB6" s="9"/>
      <c r="CBC6" s="9"/>
      <c r="CBD6" s="9"/>
      <c r="CBE6" s="9"/>
      <c r="CBF6" s="9"/>
      <c r="CBG6" s="9"/>
      <c r="CBH6" s="9"/>
      <c r="CBI6" s="9"/>
      <c r="CBJ6" s="9"/>
      <c r="CBK6" s="9"/>
      <c r="CBL6" s="9"/>
      <c r="CBM6" s="9"/>
      <c r="CBN6" s="9"/>
      <c r="CBO6" s="9"/>
      <c r="CBP6" s="9"/>
      <c r="CBQ6" s="9"/>
      <c r="CBR6" s="9"/>
      <c r="CBS6" s="9"/>
      <c r="CBT6" s="9"/>
      <c r="CBU6" s="9"/>
      <c r="CBV6" s="9"/>
      <c r="CBW6" s="9"/>
      <c r="CBX6" s="9"/>
      <c r="CBY6" s="9"/>
      <c r="CBZ6" s="9"/>
      <c r="CCA6" s="9"/>
      <c r="CCB6" s="9"/>
      <c r="CCC6" s="9"/>
      <c r="CCD6" s="9"/>
      <c r="CCE6" s="9"/>
      <c r="CCF6" s="9"/>
      <c r="CCG6" s="9"/>
      <c r="CCH6" s="9"/>
      <c r="CCI6" s="9"/>
      <c r="CCJ6" s="9"/>
      <c r="CCK6" s="9"/>
      <c r="CCL6" s="9"/>
      <c r="CCM6" s="9"/>
      <c r="CCN6" s="9"/>
      <c r="CCO6" s="9"/>
      <c r="CCP6" s="9"/>
      <c r="CCQ6" s="9"/>
      <c r="CCR6" s="9"/>
      <c r="CCS6" s="9"/>
      <c r="CCT6" s="9"/>
      <c r="CCU6" s="9"/>
      <c r="CCV6" s="9"/>
      <c r="CCW6" s="9"/>
      <c r="CCX6" s="9"/>
      <c r="CCY6" s="9"/>
      <c r="CCZ6" s="9"/>
      <c r="CDA6" s="9"/>
      <c r="CDB6" s="9"/>
      <c r="CDC6" s="9"/>
      <c r="CDD6" s="9"/>
      <c r="CDE6" s="9"/>
      <c r="CDF6" s="9"/>
      <c r="CDG6" s="9"/>
      <c r="CDH6" s="9"/>
      <c r="CDI6" s="9"/>
      <c r="CDJ6" s="9"/>
      <c r="CDK6" s="9"/>
      <c r="CDL6" s="9"/>
      <c r="CDM6" s="9"/>
      <c r="CDN6" s="9"/>
      <c r="CDO6" s="9"/>
      <c r="CDP6" s="9"/>
      <c r="CDQ6" s="9"/>
      <c r="CDR6" s="9"/>
      <c r="CDS6" s="9"/>
      <c r="CDT6" s="9"/>
      <c r="CDU6" s="9"/>
      <c r="CDV6" s="9"/>
      <c r="CDW6" s="9"/>
      <c r="CDX6" s="9"/>
      <c r="CDY6" s="9"/>
      <c r="CDZ6" s="9"/>
      <c r="CEA6" s="9"/>
      <c r="CEB6" s="9"/>
      <c r="CEC6" s="9"/>
      <c r="CED6" s="9"/>
      <c r="CEE6" s="9"/>
      <c r="CEF6" s="9"/>
      <c r="CEG6" s="9"/>
      <c r="CEH6" s="9"/>
      <c r="CEI6" s="9"/>
      <c r="CEJ6" s="9"/>
      <c r="CEK6" s="9"/>
      <c r="CEL6" s="9"/>
      <c r="CEM6" s="9"/>
      <c r="CEN6" s="9"/>
      <c r="CEO6" s="9"/>
      <c r="CEP6" s="9"/>
      <c r="CEQ6" s="9"/>
      <c r="CER6" s="9"/>
      <c r="CES6" s="9"/>
      <c r="CET6" s="9"/>
      <c r="CEU6" s="9"/>
      <c r="CEV6" s="9"/>
      <c r="CEW6" s="9"/>
      <c r="CEX6" s="9"/>
      <c r="CEY6" s="9"/>
      <c r="CEZ6" s="9"/>
      <c r="CFA6" s="9"/>
      <c r="CFB6" s="9"/>
      <c r="CFC6" s="9"/>
      <c r="CFD6" s="9"/>
      <c r="CFE6" s="9"/>
      <c r="CFF6" s="9"/>
      <c r="CFG6" s="9"/>
      <c r="CFH6" s="9"/>
      <c r="CFI6" s="9"/>
      <c r="CFJ6" s="9"/>
      <c r="CFK6" s="9"/>
      <c r="CFL6" s="9"/>
      <c r="CFM6" s="9"/>
      <c r="CFN6" s="9"/>
      <c r="CFO6" s="9"/>
      <c r="CFP6" s="9"/>
      <c r="CFQ6" s="9"/>
      <c r="CFR6" s="9"/>
      <c r="CFS6" s="9"/>
      <c r="CFT6" s="9"/>
      <c r="CFU6" s="9"/>
      <c r="CFV6" s="9"/>
      <c r="CFW6" s="9"/>
      <c r="CFX6" s="9"/>
      <c r="CFY6" s="9"/>
      <c r="CFZ6" s="9"/>
      <c r="CGA6" s="9"/>
      <c r="CGB6" s="9"/>
      <c r="CGC6" s="9"/>
      <c r="CGD6" s="9"/>
      <c r="CGE6" s="9"/>
      <c r="CGF6" s="9"/>
      <c r="CGG6" s="9"/>
      <c r="CGH6" s="9"/>
      <c r="CGI6" s="9"/>
      <c r="CGJ6" s="9"/>
      <c r="CGK6" s="9"/>
      <c r="CGL6" s="9"/>
      <c r="CGM6" s="9"/>
      <c r="CGN6" s="9"/>
      <c r="CGO6" s="9"/>
      <c r="CGP6" s="9"/>
      <c r="CGQ6" s="9"/>
      <c r="CGR6" s="9"/>
      <c r="CGS6" s="9"/>
      <c r="CGT6" s="9"/>
      <c r="CGU6" s="9"/>
      <c r="CGV6" s="9"/>
      <c r="CGW6" s="9"/>
      <c r="CGX6" s="9"/>
      <c r="CGY6" s="9"/>
      <c r="CGZ6" s="9"/>
      <c r="CHA6" s="9"/>
      <c r="CHB6" s="9"/>
      <c r="CHC6" s="9"/>
      <c r="CHD6" s="9"/>
      <c r="CHE6" s="9"/>
      <c r="CHF6" s="9"/>
      <c r="CHG6" s="9"/>
      <c r="CHH6" s="9"/>
      <c r="CHI6" s="9"/>
      <c r="CHJ6" s="9"/>
      <c r="CHK6" s="9"/>
      <c r="CHL6" s="9"/>
      <c r="CHM6" s="9"/>
      <c r="CHN6" s="9"/>
      <c r="CHO6" s="9"/>
      <c r="CHP6" s="9"/>
      <c r="CHQ6" s="9"/>
      <c r="CHR6" s="9"/>
      <c r="CHS6" s="9"/>
      <c r="CHT6" s="9"/>
      <c r="CHU6" s="9"/>
      <c r="CHV6" s="9"/>
      <c r="CHW6" s="9"/>
      <c r="CHX6" s="9"/>
      <c r="CHY6" s="9"/>
      <c r="CHZ6" s="9"/>
      <c r="CIA6" s="9"/>
      <c r="CIB6" s="9"/>
      <c r="CIC6" s="9"/>
      <c r="CID6" s="9"/>
      <c r="CIE6" s="9"/>
      <c r="CIF6" s="9"/>
      <c r="CIG6" s="9"/>
      <c r="CIH6" s="9"/>
      <c r="CII6" s="9"/>
      <c r="CIJ6" s="9"/>
      <c r="CIK6" s="9"/>
      <c r="CIL6" s="9"/>
      <c r="CIM6" s="9"/>
      <c r="CIN6" s="9"/>
      <c r="CIO6" s="9"/>
      <c r="CIP6" s="9"/>
      <c r="CIQ6" s="9"/>
      <c r="CIR6" s="9"/>
      <c r="CIS6" s="9"/>
      <c r="CIT6" s="9"/>
      <c r="CIU6" s="9"/>
      <c r="CIV6" s="9"/>
      <c r="CIW6" s="9"/>
      <c r="CIX6" s="9"/>
      <c r="CIY6" s="9"/>
      <c r="CIZ6" s="9"/>
      <c r="CJA6" s="9"/>
      <c r="CJB6" s="9"/>
      <c r="CJC6" s="9"/>
      <c r="CJD6" s="9"/>
      <c r="CJE6" s="9"/>
      <c r="CJF6" s="9"/>
      <c r="CJG6" s="9"/>
      <c r="CJH6" s="9"/>
      <c r="CJI6" s="9"/>
      <c r="CJJ6" s="9"/>
      <c r="CJK6" s="9"/>
      <c r="CJL6" s="9"/>
      <c r="CJM6" s="9"/>
      <c r="CJN6" s="9"/>
      <c r="CJO6" s="9"/>
      <c r="CJP6" s="9"/>
      <c r="CJQ6" s="9"/>
      <c r="CJR6" s="9"/>
      <c r="CJS6" s="9"/>
      <c r="CJT6" s="9"/>
      <c r="CJU6" s="9"/>
      <c r="CJV6" s="9"/>
      <c r="CJW6" s="9"/>
      <c r="CJX6" s="9"/>
      <c r="CJY6" s="9"/>
      <c r="CJZ6" s="9"/>
      <c r="CKA6" s="9"/>
      <c r="CKB6" s="9"/>
      <c r="CKC6" s="9"/>
      <c r="CKD6" s="9"/>
      <c r="CKE6" s="9"/>
      <c r="CKF6" s="9"/>
      <c r="CKG6" s="9"/>
      <c r="CKH6" s="9"/>
      <c r="CKI6" s="9"/>
      <c r="CKJ6" s="9"/>
      <c r="CKK6" s="9"/>
      <c r="CKL6" s="9"/>
      <c r="CKM6" s="9"/>
      <c r="CKN6" s="9"/>
    </row>
    <row r="7" spans="1:2328" s="4" customFormat="1" ht="18" customHeight="1" x14ac:dyDescent="0.3">
      <c r="D7" s="10" t="s">
        <v>49</v>
      </c>
      <c r="E7" s="10" t="s">
        <v>38</v>
      </c>
      <c r="F7" s="12" t="s">
        <v>43</v>
      </c>
      <c r="G7" s="10" t="s">
        <v>39</v>
      </c>
      <c r="H7" s="10" t="s">
        <v>9</v>
      </c>
      <c r="I7" s="16">
        <f>COUNTIF(tasksta[Maintenancier],maintenanciers[[#This Row],[Nom complet]])</f>
        <v>0</v>
      </c>
      <c r="J7" s="10" t="s">
        <v>51</v>
      </c>
      <c r="Z7" s="4">
        <f>COUNTIF(tasksta[Maintenancier],Maintenanciers_list!D7)</f>
        <v>0</v>
      </c>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row>
    <row r="8" spans="1:2328" s="7" customFormat="1" ht="18" customHeight="1" x14ac:dyDescent="0.3">
      <c r="C8" s="4"/>
      <c r="D8" s="10" t="s">
        <v>59</v>
      </c>
      <c r="E8" s="10" t="s">
        <v>36</v>
      </c>
      <c r="F8" s="12" t="s">
        <v>37</v>
      </c>
      <c r="G8" s="10" t="s">
        <v>39</v>
      </c>
      <c r="H8" s="10" t="s">
        <v>17</v>
      </c>
      <c r="I8" s="16"/>
      <c r="J8" s="10"/>
      <c r="K8" s="4"/>
      <c r="L8" s="4"/>
      <c r="M8" s="4"/>
      <c r="Z8" s="4"/>
    </row>
    <row r="9" spans="1:2328" s="4" customFormat="1" ht="18" customHeight="1" x14ac:dyDescent="0.3">
      <c r="D9" s="10" t="s">
        <v>66</v>
      </c>
      <c r="E9" s="10" t="s">
        <v>36</v>
      </c>
      <c r="F9" s="12" t="s">
        <v>37</v>
      </c>
      <c r="G9" s="10" t="s">
        <v>39</v>
      </c>
      <c r="H9" s="10" t="s">
        <v>9</v>
      </c>
      <c r="I9" s="16"/>
      <c r="J9" s="10"/>
    </row>
    <row r="10" spans="1:2328" s="4" customFormat="1" ht="18" customHeight="1" x14ac:dyDescent="0.3">
      <c r="D10" s="10"/>
      <c r="E10" s="10"/>
      <c r="F10" s="12"/>
      <c r="G10" s="10"/>
      <c r="H10" s="10"/>
      <c r="I10" s="16"/>
      <c r="J10" s="10"/>
    </row>
    <row r="11" spans="1:2328" s="4" customFormat="1" ht="18" customHeight="1" x14ac:dyDescent="0.3"/>
    <row r="12" spans="1:2328" s="4" customFormat="1" ht="18" customHeight="1" x14ac:dyDescent="0.3"/>
    <row r="13" spans="1:2328" s="4" customFormat="1" ht="18" customHeight="1" x14ac:dyDescent="0.3"/>
    <row r="14" spans="1:2328" s="4" customFormat="1" ht="18" customHeight="1" x14ac:dyDescent="0.3"/>
    <row r="15" spans="1:2328" s="4" customFormat="1" ht="18" customHeight="1" x14ac:dyDescent="0.3"/>
    <row r="16" spans="1:2328" s="4" customFormat="1" ht="18" customHeight="1" x14ac:dyDescent="0.3"/>
    <row r="17" spans="6:6" s="4" customFormat="1" ht="18" customHeight="1" x14ac:dyDescent="0.3"/>
    <row r="18" spans="6:6" s="4" customFormat="1" ht="18" customHeight="1" x14ac:dyDescent="0.3"/>
    <row r="19" spans="6:6" s="4" customFormat="1" ht="18" customHeight="1" x14ac:dyDescent="0.3"/>
    <row r="20" spans="6:6" s="4" customFormat="1" ht="18" customHeight="1" x14ac:dyDescent="0.3"/>
    <row r="21" spans="6:6" s="4" customFormat="1" ht="18" customHeight="1" x14ac:dyDescent="0.3"/>
    <row r="22" spans="6:6" s="4" customFormat="1" ht="18" customHeight="1" x14ac:dyDescent="0.3"/>
    <row r="23" spans="6:6" s="4" customFormat="1" ht="18" customHeight="1" x14ac:dyDescent="0.3"/>
    <row r="24" spans="6:6" s="4" customFormat="1" x14ac:dyDescent="0.3"/>
    <row r="25" spans="6:6" s="4" customFormat="1" x14ac:dyDescent="0.3"/>
    <row r="26" spans="6:6" s="4" customFormat="1" x14ac:dyDescent="0.3">
      <c r="F26" s="13"/>
    </row>
    <row r="27" spans="6:6" s="4" customFormat="1" x14ac:dyDescent="0.3">
      <c r="F27" s="13"/>
    </row>
    <row r="28" spans="6:6" s="4" customFormat="1" x14ac:dyDescent="0.3">
      <c r="F28" s="13"/>
    </row>
    <row r="29" spans="6:6" s="4" customFormat="1" x14ac:dyDescent="0.3">
      <c r="F29" s="13"/>
    </row>
    <row r="30" spans="6:6" s="4" customFormat="1" x14ac:dyDescent="0.3">
      <c r="F30" s="13"/>
    </row>
    <row r="31" spans="6:6" s="4" customFormat="1" x14ac:dyDescent="0.3">
      <c r="F31" s="13"/>
    </row>
    <row r="32" spans="6:6" s="4" customFormat="1" x14ac:dyDescent="0.3">
      <c r="F32" s="13"/>
    </row>
    <row r="33" spans="6:6" s="4" customFormat="1" x14ac:dyDescent="0.3">
      <c r="F33" s="13"/>
    </row>
    <row r="34" spans="6:6" s="4" customFormat="1" x14ac:dyDescent="0.3">
      <c r="F34" s="13"/>
    </row>
    <row r="35" spans="6:6" s="4" customFormat="1" x14ac:dyDescent="0.3">
      <c r="F35" s="13"/>
    </row>
    <row r="36" spans="6:6" s="4" customFormat="1" x14ac:dyDescent="0.3">
      <c r="F36" s="13"/>
    </row>
    <row r="37" spans="6:6" s="4" customFormat="1" x14ac:dyDescent="0.3">
      <c r="F37" s="13"/>
    </row>
    <row r="38" spans="6:6" s="4" customFormat="1" x14ac:dyDescent="0.3">
      <c r="F38" s="13"/>
    </row>
    <row r="39" spans="6:6" s="4" customFormat="1" x14ac:dyDescent="0.3">
      <c r="F39" s="13"/>
    </row>
    <row r="40" spans="6:6" s="4" customFormat="1" x14ac:dyDescent="0.3">
      <c r="F40" s="13"/>
    </row>
    <row r="41" spans="6:6" s="4" customFormat="1" x14ac:dyDescent="0.3">
      <c r="F41" s="13"/>
    </row>
    <row r="42" spans="6:6" s="4" customFormat="1" x14ac:dyDescent="0.3">
      <c r="F42" s="13"/>
    </row>
    <row r="43" spans="6:6" s="4" customFormat="1" x14ac:dyDescent="0.3">
      <c r="F43" s="13"/>
    </row>
    <row r="44" spans="6:6" s="4" customFormat="1" x14ac:dyDescent="0.3">
      <c r="F44" s="13"/>
    </row>
    <row r="45" spans="6:6" s="4" customFormat="1" x14ac:dyDescent="0.3">
      <c r="F45" s="13"/>
    </row>
    <row r="46" spans="6:6" s="4" customFormat="1" x14ac:dyDescent="0.3">
      <c r="F46" s="13"/>
    </row>
    <row r="47" spans="6:6" s="4" customFormat="1" x14ac:dyDescent="0.3">
      <c r="F47" s="13"/>
    </row>
    <row r="48" spans="6:6" s="4" customFormat="1" x14ac:dyDescent="0.3">
      <c r="F48" s="13"/>
    </row>
    <row r="49" spans="6:6" s="4" customFormat="1" x14ac:dyDescent="0.3">
      <c r="F49" s="13"/>
    </row>
    <row r="50" spans="6:6" s="4" customFormat="1" x14ac:dyDescent="0.3">
      <c r="F50" s="13"/>
    </row>
    <row r="51" spans="6:6" s="4" customFormat="1" x14ac:dyDescent="0.3">
      <c r="F51" s="13"/>
    </row>
    <row r="52" spans="6:6" s="4" customFormat="1" x14ac:dyDescent="0.3">
      <c r="F52" s="13"/>
    </row>
    <row r="53" spans="6:6" s="4" customFormat="1" x14ac:dyDescent="0.3">
      <c r="F53" s="13"/>
    </row>
    <row r="54" spans="6:6" s="4" customFormat="1" x14ac:dyDescent="0.3">
      <c r="F54" s="13"/>
    </row>
    <row r="55" spans="6:6" s="4" customFormat="1" x14ac:dyDescent="0.3">
      <c r="F55" s="13"/>
    </row>
    <row r="56" spans="6:6" s="4" customFormat="1" x14ac:dyDescent="0.3">
      <c r="F56" s="13"/>
    </row>
    <row r="57" spans="6:6" s="4" customFormat="1" x14ac:dyDescent="0.3">
      <c r="F57" s="13"/>
    </row>
    <row r="58" spans="6:6" s="4" customFormat="1" x14ac:dyDescent="0.3">
      <c r="F58" s="13"/>
    </row>
    <row r="59" spans="6:6" s="4" customFormat="1" x14ac:dyDescent="0.3">
      <c r="F59" s="13"/>
    </row>
    <row r="60" spans="6:6" s="4" customFormat="1" x14ac:dyDescent="0.3">
      <c r="F60" s="13"/>
    </row>
    <row r="61" spans="6:6" s="4" customFormat="1" x14ac:dyDescent="0.3">
      <c r="F61" s="13"/>
    </row>
    <row r="62" spans="6:6" s="4" customFormat="1" x14ac:dyDescent="0.3">
      <c r="F62" s="13"/>
    </row>
    <row r="63" spans="6:6" s="4" customFormat="1" x14ac:dyDescent="0.3">
      <c r="F63" s="13"/>
    </row>
    <row r="64" spans="6:6" s="4" customFormat="1" x14ac:dyDescent="0.3">
      <c r="F64" s="13"/>
    </row>
    <row r="65" spans="6:6" s="4" customFormat="1" x14ac:dyDescent="0.3">
      <c r="F65" s="13"/>
    </row>
    <row r="66" spans="6:6" s="4" customFormat="1" x14ac:dyDescent="0.3">
      <c r="F66" s="13"/>
    </row>
    <row r="67" spans="6:6" s="4" customFormat="1" x14ac:dyDescent="0.3">
      <c r="F67" s="13"/>
    </row>
    <row r="68" spans="6:6" s="4" customFormat="1" x14ac:dyDescent="0.3">
      <c r="F68" s="13"/>
    </row>
    <row r="69" spans="6:6" s="4" customFormat="1" x14ac:dyDescent="0.3">
      <c r="F69" s="13"/>
    </row>
    <row r="70" spans="6:6" s="4" customFormat="1" x14ac:dyDescent="0.3">
      <c r="F70" s="13"/>
    </row>
    <row r="71" spans="6:6" s="4" customFormat="1" x14ac:dyDescent="0.3">
      <c r="F71" s="13"/>
    </row>
    <row r="72" spans="6:6" s="4" customFormat="1" x14ac:dyDescent="0.3">
      <c r="F72" s="13"/>
    </row>
    <row r="73" spans="6:6" s="4" customFormat="1" x14ac:dyDescent="0.3">
      <c r="F73" s="13"/>
    </row>
    <row r="74" spans="6:6" s="4" customFormat="1" x14ac:dyDescent="0.3">
      <c r="F74" s="13"/>
    </row>
    <row r="75" spans="6:6" s="4" customFormat="1" x14ac:dyDescent="0.3">
      <c r="F75" s="13"/>
    </row>
    <row r="76" spans="6:6" s="4" customFormat="1" x14ac:dyDescent="0.3">
      <c r="F76" s="13"/>
    </row>
    <row r="77" spans="6:6" s="4" customFormat="1" x14ac:dyDescent="0.3">
      <c r="F77" s="13"/>
    </row>
    <row r="78" spans="6:6" s="4" customFormat="1" x14ac:dyDescent="0.3">
      <c r="F78" s="13"/>
    </row>
    <row r="79" spans="6:6" s="4" customFormat="1" x14ac:dyDescent="0.3">
      <c r="F79" s="13"/>
    </row>
    <row r="80" spans="6:6" s="4" customFormat="1" x14ac:dyDescent="0.3">
      <c r="F80" s="13"/>
    </row>
    <row r="81" spans="6:6" s="4" customFormat="1" x14ac:dyDescent="0.3">
      <c r="F81" s="13"/>
    </row>
    <row r="82" spans="6:6" s="4" customFormat="1" x14ac:dyDescent="0.3">
      <c r="F82" s="13"/>
    </row>
    <row r="83" spans="6:6" s="4" customFormat="1" x14ac:dyDescent="0.3">
      <c r="F83" s="13"/>
    </row>
    <row r="84" spans="6:6" s="4" customFormat="1" x14ac:dyDescent="0.3">
      <c r="F84" s="13"/>
    </row>
    <row r="85" spans="6:6" s="4" customFormat="1" x14ac:dyDescent="0.3">
      <c r="F85" s="13"/>
    </row>
    <row r="86" spans="6:6" s="4" customFormat="1" x14ac:dyDescent="0.3">
      <c r="F86" s="13"/>
    </row>
    <row r="87" spans="6:6" s="4" customFormat="1" x14ac:dyDescent="0.3">
      <c r="F87" s="13"/>
    </row>
    <row r="88" spans="6:6" s="4" customFormat="1" x14ac:dyDescent="0.3">
      <c r="F88" s="13"/>
    </row>
    <row r="89" spans="6:6" s="4" customFormat="1" x14ac:dyDescent="0.3">
      <c r="F89" s="13"/>
    </row>
    <row r="90" spans="6:6" s="4" customFormat="1" x14ac:dyDescent="0.3">
      <c r="F90" s="13"/>
    </row>
    <row r="91" spans="6:6" s="4" customFormat="1" x14ac:dyDescent="0.3">
      <c r="F91" s="13"/>
    </row>
    <row r="92" spans="6:6" s="4" customFormat="1" x14ac:dyDescent="0.3">
      <c r="F92" s="13"/>
    </row>
    <row r="93" spans="6:6" s="4" customFormat="1" x14ac:dyDescent="0.3">
      <c r="F93" s="13"/>
    </row>
    <row r="94" spans="6:6" s="4" customFormat="1" x14ac:dyDescent="0.3">
      <c r="F94" s="13"/>
    </row>
    <row r="95" spans="6:6" s="4" customFormat="1" x14ac:dyDescent="0.3">
      <c r="F95" s="13"/>
    </row>
    <row r="96" spans="6:6" s="4" customFormat="1" x14ac:dyDescent="0.3">
      <c r="F96" s="13"/>
    </row>
    <row r="97" spans="4:10" s="4" customFormat="1" x14ac:dyDescent="0.3">
      <c r="F97" s="13"/>
    </row>
    <row r="98" spans="4:10" s="4" customFormat="1" x14ac:dyDescent="0.3">
      <c r="F98" s="13"/>
    </row>
    <row r="99" spans="4:10" s="4" customFormat="1" x14ac:dyDescent="0.3">
      <c r="F99" s="13"/>
    </row>
    <row r="100" spans="4:10" s="4" customFormat="1" x14ac:dyDescent="0.3">
      <c r="F100" s="13"/>
    </row>
    <row r="101" spans="4:10" s="4" customFormat="1" x14ac:dyDescent="0.3">
      <c r="F101" s="13"/>
    </row>
    <row r="102" spans="4:10" x14ac:dyDescent="0.3">
      <c r="D102" s="4"/>
      <c r="E102" s="4"/>
      <c r="F102" s="13"/>
      <c r="G102" s="4"/>
      <c r="H102" s="4"/>
      <c r="I102" s="4"/>
      <c r="J102" s="4"/>
    </row>
    <row r="103" spans="4:10" x14ac:dyDescent="0.3">
      <c r="D103" s="4"/>
      <c r="E103" s="4"/>
      <c r="F103" s="13"/>
      <c r="G103" s="4"/>
      <c r="H103" s="4"/>
      <c r="I103" s="4"/>
      <c r="J103" s="4"/>
    </row>
    <row r="104" spans="4:10" x14ac:dyDescent="0.3">
      <c r="D104" s="4"/>
      <c r="E104" s="4"/>
      <c r="F104" s="13"/>
      <c r="G104" s="4"/>
      <c r="H104" s="4"/>
      <c r="I104" s="4"/>
      <c r="J104" s="4"/>
    </row>
    <row r="105" spans="4:10" x14ac:dyDescent="0.3">
      <c r="D105" s="4"/>
      <c r="E105" s="4"/>
      <c r="F105" s="13"/>
      <c r="G105" s="4"/>
      <c r="H105" s="4"/>
      <c r="I105" s="4"/>
      <c r="J105" s="4"/>
    </row>
    <row r="106" spans="4:10" x14ac:dyDescent="0.3">
      <c r="D106" s="4"/>
      <c r="E106" s="4"/>
      <c r="F106" s="13"/>
      <c r="G106" s="4"/>
      <c r="H106" s="4"/>
      <c r="I106" s="4"/>
      <c r="J106" s="4"/>
    </row>
    <row r="107" spans="4:10" x14ac:dyDescent="0.3">
      <c r="D107" s="4"/>
      <c r="E107" s="4"/>
      <c r="F107" s="13"/>
      <c r="G107" s="4"/>
      <c r="H107" s="4"/>
      <c r="I107" s="4"/>
      <c r="J107" s="4"/>
    </row>
  </sheetData>
  <mergeCells count="1">
    <mergeCell ref="D3:J4"/>
  </mergeCells>
  <phoneticPr fontId="1" type="noConversion"/>
  <dataValidations count="2">
    <dataValidation type="list" allowBlank="1" showInputMessage="1" showErrorMessage="1" sqref="CKF7 CKH7 CKJ7 CKL7 CIZ7 CJB7 CJD7 CJF7 CJH7 CJJ7 CJL7 CJN7 CJP7 CJR7 CJT7 CJV7 CJX7 CJZ7 CKB7 CKD7 AN7 AP7 AR7 AT7 AV7 AX7 AZ7 BB7 BD7 BF7 BH7 BJ7 BL7 BN7 BP7 BR7 BT7 BV7 BX7 BZ7 CB7 CD7 CF7 CH7 CJ7 CL7 CN7 CP7 CR7 CT7 CV7 CX7 CZ7 DB7 DD7 DF7 DH7 DJ7 DL7 DN7 DP7 DR7 DT7 DV7 DX7 DZ7 EB7 ED7 EF7 EH7 EJ7 EL7 EN7 EP7 ER7 ET7 EV7 EX7 EZ7 FB7 FD7 FF7 FH7 FJ7 FL7 FN7 FP7 FR7 FT7 FV7 FX7 FZ7 GB7 GD7 GF7 GH7 GJ7 GL7 GN7 GP7 GR7 GT7 GV7 GX7 GZ7 HB7 HD7 HF7 HH7 HJ7 HL7 HN7 HP7 HR7 HT7 HV7 HX7 HZ7 IB7 ID7 IF7 IH7 IJ7 IL7 IN7 IP7 IR7 IT7 IV7 IX7 IZ7 JB7 JD7 JF7 JH7 JJ7 JL7 JN7 JP7 JR7 JT7 JV7 JX7 JZ7 KB7 KD7 KF7 KH7 KJ7 KL7 KN7 KP7 KR7 KT7 KV7 KX7 KZ7 LB7 LD7 LF7 LH7 LJ7 LL7 LN7 LP7 LR7 LT7 LV7 LX7 LZ7 MB7 MD7 MF7 MH7 MJ7 ML7 MN7 MP7 MR7 MT7 MV7 MX7 MZ7 NB7 ND7 NF7 NH7 NJ7 NL7 NN7 NP7 NR7 NT7 NV7 NX7 NZ7 OB7 OD7 OF7 OH7 OJ7 OL7 ON7 OP7 OR7 OT7 OV7 OX7 OZ7 PB7 PD7 PF7 PH7 PJ7 PL7 PN7 PP7 PR7 PT7 PV7 PX7 PZ7 QB7 QD7 QF7 QH7 QJ7 QL7 QN7 QP7 QR7 QT7 QV7 QX7 QZ7 RB7 RD7 RF7 RH7 RJ7 RL7 RN7 RP7 RR7 RT7 RV7 RX7 RZ7 SB7 SD7 SF7 SH7 SJ7 SL7 SN7 SP7 SR7 ST7 SV7 SX7 SZ7 TB7 TD7 TF7 TH7 TJ7 TL7 TN7 TP7 TR7 TT7 TV7 TX7 TZ7 UB7 UD7 UF7 UH7 UJ7 UL7 UN7 UP7 UR7 UT7 UV7 UX7 UZ7 VB7 VD7 VF7 VH7 VJ7 VL7 VN7 VP7 VR7 VT7 VV7 VX7 VZ7 WB7 WD7 WF7 WH7 WJ7 WL7 WN7 WP7 WR7 WT7 WV7 WX7 WZ7 XB7 XD7 XF7 XH7 XJ7 XL7 XN7 XP7 XR7 XT7 XV7 XX7 XZ7 YB7 YD7 YF7 YH7 YJ7 YL7 YN7 YP7 YR7 YT7 YV7 YX7 YZ7 ZB7 ZD7 ZF7 ZH7 ZJ7 ZL7 ZN7 ZP7 ZR7 ZT7 ZV7 ZX7 ZZ7 AAB7 AAD7 AAF7 AAH7 AAJ7 AAL7 AAN7 AAP7 AAR7 AAT7 AAV7 AAX7 AAZ7 ABB7 ABD7 ABF7 ABH7 ABJ7 ABL7 ABN7 ABP7 ABR7 ABT7 ABV7 ABX7 ABZ7 ACB7 ACD7 ACF7 ACH7 ACJ7 ACL7 ACN7 ACP7 ACR7 ACT7 ACV7 ACX7 ACZ7 ADB7 ADD7 ADF7 ADH7 ADJ7 ADL7 ADN7 ADP7 ADR7 ADT7 ADV7 ADX7 ADZ7 AEB7 AED7 AEF7 AEH7 AEJ7 AEL7 AEN7 AEP7 AER7 AET7 AEV7 AEX7 AEZ7 AFB7 AFD7 AFF7 AFH7 AFJ7 AFL7 AFN7 AFP7 AFR7 AFT7 AFV7 AFX7 AFZ7 AGB7 AGD7 AGF7 AGH7 AGJ7 AGL7 AGN7 AGP7 AGR7 AGT7 AGV7 AGX7 AGZ7 AHB7 AHD7 AHF7 AHH7 AHJ7 AHL7 AHN7 AHP7 AHR7 AHT7 AHV7 AHX7 AHZ7 AIB7 AID7 AIF7 AIH7 AIJ7 AIL7 AIN7 AIP7 AIR7 AIT7 AIV7 AIX7 AIZ7 AJB7 AJD7 AJF7 AJH7 AJJ7 AJL7 AJN7 AJP7 AJR7 AJT7 AJV7 AJX7 AJZ7 AKB7 AKD7 AKF7 AKH7 AKJ7 AKL7 AKN7 AKP7 AKR7 AKT7 AKV7 AKX7 AKZ7 ALB7 ALD7 ALF7 ALH7 ALJ7 ALL7 ALN7 ALP7 ALR7 ALT7 ALV7 ALX7 ALZ7 AMB7 AMD7 AMF7 AMH7 AMJ7 AML7 AMN7 AMP7 AMR7 AMT7 AMV7 AMX7 AMZ7 ANB7 AND7 ANF7 ANH7 ANJ7 ANL7 ANN7 ANP7 ANR7 ANT7 ANV7 ANX7 ANZ7 AOB7 AOD7 AOF7 AOH7 AOJ7 AOL7 AON7 AOP7 AOR7 AOT7 AOV7 AOX7 AOZ7 APB7 APD7 APF7 APH7 APJ7 APL7 APN7 APP7 APR7 APT7 APV7 APX7 APZ7 AQB7 AQD7 AQF7 AQH7 AQJ7 AQL7 AQN7 AQP7 AQR7 AQT7 AQV7 AQX7 AQZ7 ARB7 ARD7 ARF7 ARH7 ARJ7 ARL7 ARN7 ARP7 ARR7 ART7 ARV7 ARX7 ARZ7 ASB7 ASD7 ASF7 ASH7 ASJ7 ASL7 ASN7 ASP7 ASR7 AST7 ASV7 ASX7 ASZ7 ATB7 ATD7 ATF7 ATH7 ATJ7 ATL7 ATN7 ATP7 ATR7 ATT7 ATV7 ATX7 ATZ7 AUB7 AUD7 AUF7 AUH7 AUJ7 AUL7 AUN7 AUP7 AUR7 AUT7 AUV7 AUX7 AUZ7 AVB7 AVD7 AVF7 AVH7 AVJ7 AVL7 AVN7 AVP7 AVR7 AVT7 AVV7 AVX7 AVZ7 AWB7 AWD7 AWF7 AWH7 AWJ7 AWL7 AWN7 AWP7 AWR7 AWT7 AWV7 AWX7 AWZ7 AXB7 AXD7 AXF7 AXH7 AXJ7 AXL7 AXN7 AXP7 AXR7 AXT7 AXV7 AXX7 AXZ7 AYB7 AYD7 AYF7 AYH7 AYJ7 AYL7 AYN7 AYP7 AYR7 AYT7 AYV7 AYX7 AYZ7 AZB7 AZD7 AZF7 AZH7 AZJ7 AZL7 AZN7 AZP7 AZR7 AZT7 AZV7 AZX7 AZZ7 BAB7 BAD7 BAF7 BAH7 BAJ7 BAL7 BAN7 BAP7 BAR7 BAT7 BAV7 BAX7 BAZ7 BBB7 BBD7 BBF7 BBH7 BBJ7 BBL7 BBN7 BBP7 BBR7 BBT7 BBV7 BBX7 BBZ7 BCB7 BCD7 BCF7 BCH7 BCJ7 BCL7 BCN7 BCP7 BCR7 BCT7 BCV7 BCX7 BCZ7 BDB7 BDD7 BDF7 BDH7 BDJ7 BDL7 BDN7 BDP7 BDR7 BDT7 BDV7 BDX7 BDZ7 BEB7 BED7 BEF7 BEH7 BEJ7 BEL7 BEN7 BEP7 BER7 BET7 BEV7 BEX7 BEZ7 BFB7 BFD7 BFF7 BFH7 BFJ7 BFL7 BFN7 BFP7 BFR7 BFT7 BFV7 BFX7 BFZ7 BGB7 BGD7 BGF7 BGH7 BGJ7 BGL7 BGN7 BGP7 BGR7 BGT7 BGV7 BGX7 BGZ7 BHB7 BHD7 BHF7 BHH7 BHJ7 BHL7 BHN7 BHP7 BHR7 BHT7 BHV7 BHX7 BHZ7 BIB7 BID7 BIF7 BIH7 BIJ7 BIL7 BIN7 BIP7 BIR7 BIT7 BIV7 BIX7 BIZ7 BJB7 BJD7 BJF7 BJH7 BJJ7 BJL7 BJN7 BJP7 BJR7 BJT7 BJV7 BJX7 BJZ7 BKB7 BKD7 BKF7 BKH7 BKJ7 BKL7 BKN7 BKP7 BKR7 BKT7 BKV7 BKX7 BKZ7 BLB7 BLD7 BLF7 BLH7 BLJ7 BLL7 BLN7 BLP7 BLR7 BLT7 BLV7 BLX7 BLZ7 BMB7 BMD7 BMF7 BMH7 BMJ7 BML7 BMN7 BMP7 BMR7 BMT7 BMV7 BMX7 BMZ7 BNB7 BND7 BNF7 BNH7 BNJ7 BNL7 BNN7 BNP7 BNR7 BNT7 BNV7 BNX7 BNZ7 BOB7 BOD7 BOF7 BOH7 BOJ7 BOL7 BON7 BOP7 BOR7 BOT7 BOV7 BOX7 BOZ7 BPB7 BPD7 BPF7 BPH7 BPJ7 BPL7 BPN7 BPP7 BPR7 BPT7 BPV7 BPX7 BPZ7 BQB7 BQD7 BQF7 BQH7 BQJ7 BQL7 BQN7 BQP7 BQR7 BQT7 BQV7 BQX7 BQZ7 BRB7 BRD7 BRF7 BRH7 BRJ7 BRL7 BRN7 BRP7 BRR7 BRT7 BRV7 BRX7 BRZ7 BSB7 BSD7 BSF7 BSH7 BSJ7 BSL7 BSN7 BSP7 BSR7 BST7 BSV7 BSX7 BSZ7 BTB7 BTD7 BTF7 BTH7 BTJ7 BTL7 BTN7 BTP7 BTR7 BTT7 BTV7 BTX7 BTZ7 BUB7 BUD7 BUF7 BUH7 BUJ7 BUL7 BUN7 BUP7 BUR7 BUT7 BUV7 BUX7 BUZ7 BVB7 BVD7 BVF7 BVH7 BVJ7 BVL7 BVN7 BVP7 BVR7 BVT7 BVV7 BVX7 BVZ7 BWB7 BWD7 BWF7 BWH7 BWJ7 BWL7 BWN7 BWP7 BWR7 BWT7 BWV7 BWX7 BWZ7 BXB7 BXD7 BXF7 BXH7 BXJ7 BXL7 BXN7 BXP7 BXR7 BXT7 BXV7 BXX7 BXZ7 BYB7 BYD7 BYF7 BYH7 BYJ7 BYL7 BYN7 BYP7 BYR7 BYT7 BYV7 BYX7 BYZ7 BZB7 BZD7 BZF7 BZH7 BZJ7 BZL7 BZN7 BZP7 BZR7 BZT7 BZV7 BZX7 BZZ7 CAB7 CAD7 CAF7 CAH7 CAJ7 CAL7 CAN7 CAP7 CAR7 CAT7 CAV7 CAX7 CAZ7 CBB7 CBD7 CBF7 CBH7 CBJ7 CBL7 CBN7 CBP7 CBR7 CBT7 CBV7 CBX7 CBZ7 CCB7 CCD7 CCF7 CCH7 CCJ7 CCL7 CCN7 CCP7 CCR7 CCT7 CCV7 CCX7 CCZ7 CDB7 CDD7 CDF7 CDH7 CDJ7 CDL7 CDN7 CDP7 CDR7 CDT7 CDV7 CDX7 CDZ7 CEB7 CED7 CEF7 CEH7 CEJ7 CEL7 CEN7 CEP7 CER7 CET7 CEV7 CEX7 CEZ7 CFB7 CFD7 CFF7 CFH7 CFJ7 CFL7 CFN7 CFP7 CFR7 CFT7 CFV7 CFX7 CFZ7 CGB7 CGD7 CGF7 CGH7 CGJ7 CGL7 CGN7 CGP7 CGR7 CGT7 CGV7 CGX7 CGZ7 CHB7 CHD7 CHF7 CHH7 CHJ7 CHL7 CHN7 CHP7 CHR7 CHT7 CHV7 CHX7 CHZ7 CIB7 CID7 CIF7 CIH7 CIJ7 CIL7 CIN7 CIP7 CIR7 CIT7 CIV7 CIX7 H6:H10" xr:uid="{8E23587C-5BE9-4F74-93AA-3DCFBB7DB977}">
      <formula1>"Mecanique,Electric"</formula1>
    </dataValidation>
    <dataValidation type="list" allowBlank="1" showInputMessage="1" showErrorMessage="1" sqref="CKG7 CKE7 CKI7 CKK7 CKC7 CIY7 CJA7 CJC7 CJE7 CJG7 CJI7 CJK7 CJM7 CJO7 CJQ7 CJS7 CJU7 CJW7 CJY7 CKA7 AM7 AO7 AQ7 AS7 AU7 AW7 AY7 BA7 BC7 BE7 BG7 BI7 BK7 BM7 BO7 BQ7 BS7 BU7 BW7 BY7 CA7 CC7 CE7 CG7 CI7 CK7 CM7 CO7 CQ7 CS7 CU7 CW7 CY7 DA7 DC7 DE7 DG7 DI7 DK7 DM7 DO7 DQ7 DS7 DU7 DW7 DY7 EA7 EC7 EE7 EG7 EI7 EK7 EM7 EO7 EQ7 ES7 EU7 EW7 EY7 FA7 FC7 FE7 FG7 FI7 FK7 FM7 FO7 FQ7 FS7 FU7 FW7 FY7 GA7 GC7 GE7 GG7 GI7 GK7 GM7 GO7 GQ7 GS7 GU7 GW7 GY7 HA7 HC7 HE7 HG7 HI7 HK7 HM7 HO7 HQ7 HS7 HU7 HW7 HY7 IA7 IC7 IE7 IG7 II7 IK7 IM7 IO7 IQ7 IS7 IU7 IW7 IY7 JA7 JC7 JE7 JG7 JI7 JK7 JM7 JO7 JQ7 JS7 JU7 JW7 JY7 KA7 KC7 KE7 KG7 KI7 KK7 KM7 KO7 KQ7 KS7 KU7 KW7 KY7 LA7 LC7 LE7 LG7 LI7 LK7 LM7 LO7 LQ7 LS7 LU7 LW7 LY7 MA7 MC7 ME7 MG7 MI7 MK7 MM7 MO7 MQ7 MS7 MU7 MW7 MY7 NA7 NC7 NE7 NG7 NI7 NK7 NM7 NO7 NQ7 NS7 NU7 NW7 NY7 OA7 OC7 OE7 OG7 OI7 OK7 OM7 OO7 OQ7 OS7 OU7 OW7 OY7 PA7 PC7 PE7 PG7 PI7 PK7 PM7 PO7 PQ7 PS7 PU7 PW7 PY7 QA7 QC7 QE7 QG7 QI7 QK7 QM7 QO7 QQ7 QS7 QU7 QW7 QY7 RA7 RC7 RE7 RG7 RI7 RK7 RM7 RO7 RQ7 RS7 RU7 RW7 RY7 SA7 SC7 SE7 SG7 SI7 SK7 SM7 SO7 SQ7 SS7 SU7 SW7 SY7 TA7 TC7 TE7 TG7 TI7 TK7 TM7 TO7 TQ7 TS7 TU7 TW7 TY7 UA7 UC7 UE7 UG7 UI7 UK7 UM7 UO7 UQ7 US7 UU7 UW7 UY7 VA7 VC7 VE7 VG7 VI7 VK7 VM7 VO7 VQ7 VS7 VU7 VW7 VY7 WA7 WC7 WE7 WG7 WI7 WK7 WM7 WO7 WQ7 WS7 WU7 WW7 WY7 XA7 XC7 XE7 XG7 XI7 XK7 XM7 XO7 XQ7 XS7 XU7 XW7 XY7 YA7 YC7 YE7 YG7 YI7 YK7 YM7 YO7 YQ7 YS7 YU7 YW7 YY7 ZA7 ZC7 ZE7 ZG7 ZI7 ZK7 ZM7 ZO7 ZQ7 ZS7 ZU7 ZW7 ZY7 AAA7 AAC7 AAE7 AAG7 AAI7 AAK7 AAM7 AAO7 AAQ7 AAS7 AAU7 AAW7 AAY7 ABA7 ABC7 ABE7 ABG7 ABI7 ABK7 ABM7 ABO7 ABQ7 ABS7 ABU7 ABW7 ABY7 ACA7 ACC7 ACE7 ACG7 ACI7 ACK7 ACM7 ACO7 ACQ7 ACS7 ACU7 ACW7 ACY7 ADA7 ADC7 ADE7 ADG7 ADI7 ADK7 ADM7 ADO7 ADQ7 ADS7 ADU7 ADW7 ADY7 AEA7 AEC7 AEE7 AEG7 AEI7 AEK7 AEM7 AEO7 AEQ7 AES7 AEU7 AEW7 AEY7 AFA7 AFC7 AFE7 AFG7 AFI7 AFK7 AFM7 AFO7 AFQ7 AFS7 AFU7 AFW7 AFY7 AGA7 AGC7 AGE7 AGG7 AGI7 AGK7 AGM7 AGO7 AGQ7 AGS7 AGU7 AGW7 AGY7 AHA7 AHC7 AHE7 AHG7 AHI7 AHK7 AHM7 AHO7 AHQ7 AHS7 AHU7 AHW7 AHY7 AIA7 AIC7 AIE7 AIG7 AII7 AIK7 AIM7 AIO7 AIQ7 AIS7 AIU7 AIW7 AIY7 AJA7 AJC7 AJE7 AJG7 AJI7 AJK7 AJM7 AJO7 AJQ7 AJS7 AJU7 AJW7 AJY7 AKA7 AKC7 AKE7 AKG7 AKI7 AKK7 AKM7 AKO7 AKQ7 AKS7 AKU7 AKW7 AKY7 ALA7 ALC7 ALE7 ALG7 ALI7 ALK7 ALM7 ALO7 ALQ7 ALS7 ALU7 ALW7 ALY7 AMA7 AMC7 AME7 AMG7 AMI7 AMK7 AMM7 AMO7 AMQ7 AMS7 AMU7 AMW7 AMY7 ANA7 ANC7 ANE7 ANG7 ANI7 ANK7 ANM7 ANO7 ANQ7 ANS7 ANU7 ANW7 ANY7 AOA7 AOC7 AOE7 AOG7 AOI7 AOK7 AOM7 AOO7 AOQ7 AOS7 AOU7 AOW7 AOY7 APA7 APC7 APE7 APG7 API7 APK7 APM7 APO7 APQ7 APS7 APU7 APW7 APY7 AQA7 AQC7 AQE7 AQG7 AQI7 AQK7 AQM7 AQO7 AQQ7 AQS7 AQU7 AQW7 AQY7 ARA7 ARC7 ARE7 ARG7 ARI7 ARK7 ARM7 ARO7 ARQ7 ARS7 ARU7 ARW7 ARY7 ASA7 ASC7 ASE7 ASG7 ASI7 ASK7 ASM7 ASO7 ASQ7 ASS7 ASU7 ASW7 ASY7 ATA7 ATC7 ATE7 ATG7 ATI7 ATK7 ATM7 ATO7 ATQ7 ATS7 ATU7 ATW7 ATY7 AUA7 AUC7 AUE7 AUG7 AUI7 AUK7 AUM7 AUO7 AUQ7 AUS7 AUU7 AUW7 AUY7 AVA7 AVC7 AVE7 AVG7 AVI7 AVK7 AVM7 AVO7 AVQ7 AVS7 AVU7 AVW7 AVY7 AWA7 AWC7 AWE7 AWG7 AWI7 AWK7 AWM7 AWO7 AWQ7 AWS7 AWU7 AWW7 AWY7 AXA7 AXC7 AXE7 AXG7 AXI7 AXK7 AXM7 AXO7 AXQ7 AXS7 AXU7 AXW7 AXY7 AYA7 AYC7 AYE7 AYG7 AYI7 AYK7 AYM7 AYO7 AYQ7 AYS7 AYU7 AYW7 AYY7 AZA7 AZC7 AZE7 AZG7 AZI7 AZK7 AZM7 AZO7 AZQ7 AZS7 AZU7 AZW7 AZY7 BAA7 BAC7 BAE7 BAG7 BAI7 BAK7 BAM7 BAO7 BAQ7 BAS7 BAU7 BAW7 BAY7 BBA7 BBC7 BBE7 BBG7 BBI7 BBK7 BBM7 BBO7 BBQ7 BBS7 BBU7 BBW7 BBY7 BCA7 BCC7 BCE7 BCG7 BCI7 BCK7 BCM7 BCO7 BCQ7 BCS7 BCU7 BCW7 BCY7 BDA7 BDC7 BDE7 BDG7 BDI7 BDK7 BDM7 BDO7 BDQ7 BDS7 BDU7 BDW7 BDY7 BEA7 BEC7 BEE7 BEG7 BEI7 BEK7 BEM7 BEO7 BEQ7 BES7 BEU7 BEW7 BEY7 BFA7 BFC7 BFE7 BFG7 BFI7 BFK7 BFM7 BFO7 BFQ7 BFS7 BFU7 BFW7 BFY7 BGA7 BGC7 BGE7 BGG7 BGI7 BGK7 BGM7 BGO7 BGQ7 BGS7 BGU7 BGW7 BGY7 BHA7 BHC7 BHE7 BHG7 BHI7 BHK7 BHM7 BHO7 BHQ7 BHS7 BHU7 BHW7 BHY7 BIA7 BIC7 BIE7 BIG7 BII7 BIK7 BIM7 BIO7 BIQ7 BIS7 BIU7 BIW7 BIY7 BJA7 BJC7 BJE7 BJG7 BJI7 BJK7 BJM7 BJO7 BJQ7 BJS7 BJU7 BJW7 BJY7 BKA7 BKC7 BKE7 BKG7 BKI7 BKK7 BKM7 BKO7 BKQ7 BKS7 BKU7 BKW7 BKY7 BLA7 BLC7 BLE7 BLG7 BLI7 BLK7 BLM7 BLO7 BLQ7 BLS7 BLU7 BLW7 BLY7 BMA7 BMC7 BME7 BMG7 BMI7 BMK7 BMM7 BMO7 BMQ7 BMS7 BMU7 BMW7 BMY7 BNA7 BNC7 BNE7 BNG7 BNI7 BNK7 BNM7 BNO7 BNQ7 BNS7 BNU7 BNW7 BNY7 BOA7 BOC7 BOE7 BOG7 BOI7 BOK7 BOM7 BOO7 BOQ7 BOS7 BOU7 BOW7 BOY7 BPA7 BPC7 BPE7 BPG7 BPI7 BPK7 BPM7 BPO7 BPQ7 BPS7 BPU7 BPW7 BPY7 BQA7 BQC7 BQE7 BQG7 BQI7 BQK7 BQM7 BQO7 BQQ7 BQS7 BQU7 BQW7 BQY7 BRA7 BRC7 BRE7 BRG7 BRI7 BRK7 BRM7 BRO7 BRQ7 BRS7 BRU7 BRW7 BRY7 BSA7 BSC7 BSE7 BSG7 BSI7 BSK7 BSM7 BSO7 BSQ7 BSS7 BSU7 BSW7 BSY7 BTA7 BTC7 BTE7 BTG7 BTI7 BTK7 BTM7 BTO7 BTQ7 BTS7 BTU7 BTW7 BTY7 BUA7 BUC7 BUE7 BUG7 BUI7 BUK7 BUM7 BUO7 BUQ7 BUS7 BUU7 BUW7 BUY7 BVA7 BVC7 BVE7 BVG7 BVI7 BVK7 BVM7 BVO7 BVQ7 BVS7 BVU7 BVW7 BVY7 BWA7 BWC7 BWE7 BWG7 BWI7 BWK7 BWM7 BWO7 BWQ7 BWS7 BWU7 BWW7 BWY7 BXA7 BXC7 BXE7 BXG7 BXI7 BXK7 BXM7 BXO7 BXQ7 BXS7 BXU7 BXW7 BXY7 BYA7 BYC7 BYE7 BYG7 BYI7 BYK7 BYM7 BYO7 BYQ7 BYS7 BYU7 BYW7 BYY7 BZA7 BZC7 BZE7 BZG7 BZI7 BZK7 BZM7 BZO7 BZQ7 BZS7 BZU7 BZW7 BZY7 CAA7 CAC7 CAE7 CAG7 CAI7 CAK7 CAM7 CAO7 CAQ7 CAS7 CAU7 CAW7 CAY7 CBA7 CBC7 CBE7 CBG7 CBI7 CBK7 CBM7 CBO7 CBQ7 CBS7 CBU7 CBW7 CBY7 CCA7 CCC7 CCE7 CCG7 CCI7 CCK7 CCM7 CCO7 CCQ7 CCS7 CCU7 CCW7 CCY7 CDA7 CDC7 CDE7 CDG7 CDI7 CDK7 CDM7 CDO7 CDQ7 CDS7 CDU7 CDW7 CDY7 CEA7 CEC7 CEE7 CEG7 CEI7 CEK7 CEM7 CEO7 CEQ7 CES7 CEU7 CEW7 CEY7 CFA7 CFC7 CFE7 CFG7 CFI7 CFK7 CFM7 CFO7 CFQ7 CFS7 CFU7 CFW7 CFY7 CGA7 CGC7 CGE7 CGG7 CGI7 CGK7 CGM7 CGO7 CGQ7 CGS7 CGU7 CGW7 CGY7 CHA7 CHC7 CHE7 CHG7 CHI7 CHK7 CHM7 CHO7 CHQ7 CHS7 CHU7 CHW7 CHY7 CIA7 CIC7 CIE7 CIG7 CII7 CIK7 CIM7 CIO7 CIQ7 CIS7 CIU7 CIW7 G6:G10" xr:uid="{B6F4DBC8-E000-4426-A990-8C70FEC2E986}">
      <formula1>"Homme,Femelle"</formula1>
    </dataValidation>
  </dataValidation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5DB15-4792-4608-8E2B-ADF507642020}">
  <sheetPr codeName="Sheet4">
    <tabColor rgb="FFE7223A"/>
  </sheetPr>
  <dimension ref="A1:EN27"/>
  <sheetViews>
    <sheetView zoomScale="126" zoomScaleNormal="120" workbookViewId="0">
      <selection activeCell="G7" sqref="G7"/>
    </sheetView>
  </sheetViews>
  <sheetFormatPr defaultRowHeight="14.4" x14ac:dyDescent="0.3"/>
  <cols>
    <col min="1" max="4" width="8.88671875" style="1"/>
    <col min="5" max="5" width="32.77734375" style="1" customWidth="1"/>
    <col min="6" max="6" width="8.88671875" style="1"/>
    <col min="7" max="7" width="29.77734375" style="1" customWidth="1"/>
    <col min="8" max="16384" width="8.88671875" style="1"/>
  </cols>
  <sheetData>
    <row r="1" spans="1:144" s="2" customFormat="1" x14ac:dyDescent="0.3"/>
    <row r="2" spans="1:144" s="2" customFormat="1" x14ac:dyDescent="0.3"/>
    <row r="3" spans="1:144" s="2" customFormat="1" ht="27" customHeight="1" x14ac:dyDescent="0.4">
      <c r="D3" s="3"/>
      <c r="E3" s="5" t="s">
        <v>10</v>
      </c>
      <c r="F3" s="3"/>
      <c r="G3" s="3"/>
      <c r="H3" s="31"/>
    </row>
    <row r="4" spans="1:144" s="4" customFormat="1" ht="16.8" x14ac:dyDescent="0.4">
      <c r="A4" s="2"/>
      <c r="B4" s="2"/>
      <c r="C4" s="2"/>
      <c r="D4" s="3"/>
      <c r="E4" s="5" t="s">
        <v>19</v>
      </c>
      <c r="F4" s="3"/>
      <c r="G4" s="3"/>
      <c r="H4" s="31"/>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row>
    <row r="5" spans="1:144" s="4" customFormat="1" x14ac:dyDescent="0.3">
      <c r="D5" s="3"/>
      <c r="E5" s="3"/>
      <c r="F5" s="3"/>
      <c r="G5" s="3"/>
      <c r="H5" s="31"/>
    </row>
    <row r="6" spans="1:144" s="4" customFormat="1" ht="16.2" x14ac:dyDescent="0.4">
      <c r="D6" s="3"/>
      <c r="E6" s="8" t="s">
        <v>2</v>
      </c>
      <c r="F6" s="3"/>
      <c r="G6" s="8" t="s">
        <v>3</v>
      </c>
      <c r="H6" s="31"/>
    </row>
    <row r="7" spans="1:144" s="7" customFormat="1" ht="22.05" customHeight="1" x14ac:dyDescent="0.3">
      <c r="D7" s="6"/>
      <c r="E7" s="32" t="s">
        <v>45</v>
      </c>
      <c r="F7" s="6"/>
      <c r="G7" s="32" t="s">
        <v>65</v>
      </c>
      <c r="H7" s="34"/>
    </row>
    <row r="8" spans="1:144" s="4" customFormat="1" x14ac:dyDescent="0.3">
      <c r="D8" s="3"/>
      <c r="E8" s="3"/>
      <c r="F8" s="3"/>
      <c r="G8" s="3"/>
      <c r="H8" s="31"/>
    </row>
    <row r="9" spans="1:144" s="4" customFormat="1" ht="16.2" x14ac:dyDescent="0.4">
      <c r="D9" s="3"/>
      <c r="E9" s="8" t="s">
        <v>4</v>
      </c>
      <c r="F9" s="3"/>
      <c r="G9" s="8" t="s">
        <v>5</v>
      </c>
      <c r="H9" s="31"/>
    </row>
    <row r="10" spans="1:144" s="7" customFormat="1" ht="22.05" customHeight="1" x14ac:dyDescent="0.3">
      <c r="D10" s="6"/>
      <c r="E10" s="32" t="s">
        <v>36</v>
      </c>
      <c r="F10" s="6"/>
      <c r="G10" s="33" t="s">
        <v>37</v>
      </c>
      <c r="H10" s="6"/>
    </row>
    <row r="11" spans="1:144" s="4" customFormat="1" x14ac:dyDescent="0.3">
      <c r="D11" s="3"/>
      <c r="E11" s="3"/>
      <c r="F11" s="3"/>
      <c r="G11" s="3"/>
      <c r="H11" s="3"/>
    </row>
    <row r="12" spans="1:144" s="4" customFormat="1" ht="16.2" x14ac:dyDescent="0.4">
      <c r="D12" s="3"/>
      <c r="E12" s="8" t="s">
        <v>12</v>
      </c>
      <c r="F12" s="3"/>
      <c r="G12" s="8" t="s">
        <v>6</v>
      </c>
      <c r="H12" s="3"/>
    </row>
    <row r="13" spans="1:144" s="7" customFormat="1" ht="22.05" customHeight="1" x14ac:dyDescent="0.3">
      <c r="D13" s="6"/>
      <c r="E13" s="32" t="s">
        <v>39</v>
      </c>
      <c r="F13" s="6"/>
      <c r="G13" s="32" t="s">
        <v>9</v>
      </c>
      <c r="H13" s="6"/>
    </row>
    <row r="14" spans="1:144" s="4" customFormat="1" x14ac:dyDescent="0.3">
      <c r="D14" s="3"/>
      <c r="E14" s="3"/>
      <c r="F14" s="3"/>
      <c r="G14" s="3"/>
      <c r="H14" s="3"/>
    </row>
    <row r="15" spans="1:144" s="4" customFormat="1" x14ac:dyDescent="0.3">
      <c r="D15" s="3"/>
      <c r="E15" s="3"/>
      <c r="F15" s="3"/>
      <c r="G15" s="3"/>
      <c r="H15" s="3"/>
    </row>
    <row r="16" spans="1:144" s="4" customFormat="1" x14ac:dyDescent="0.3">
      <c r="D16" s="3"/>
      <c r="E16" s="3"/>
      <c r="F16" s="3"/>
      <c r="G16" s="3"/>
      <c r="H16" s="3"/>
    </row>
    <row r="17" spans="4:8" s="4" customFormat="1" x14ac:dyDescent="0.3">
      <c r="D17" s="3"/>
      <c r="E17" s="3"/>
      <c r="F17" s="3"/>
      <c r="G17" s="3"/>
      <c r="H17" s="3"/>
    </row>
    <row r="18" spans="4:8" s="4" customFormat="1" x14ac:dyDescent="0.3">
      <c r="D18" s="3"/>
      <c r="E18" s="3"/>
      <c r="F18" s="3"/>
      <c r="G18" s="3"/>
      <c r="H18" s="3"/>
    </row>
    <row r="19" spans="4:8" s="4" customFormat="1" x14ac:dyDescent="0.3"/>
    <row r="20" spans="4:8" s="4" customFormat="1" x14ac:dyDescent="0.3"/>
    <row r="21" spans="4:8" s="4" customFormat="1" x14ac:dyDescent="0.3"/>
    <row r="22" spans="4:8" s="4" customFormat="1" x14ac:dyDescent="0.3"/>
    <row r="23" spans="4:8" s="4" customFormat="1" x14ac:dyDescent="0.3"/>
    <row r="24" spans="4:8" s="4" customFormat="1" x14ac:dyDescent="0.3"/>
    <row r="25" spans="4:8" s="4" customFormat="1" x14ac:dyDescent="0.3"/>
    <row r="26" spans="4:8" s="4" customFormat="1" x14ac:dyDescent="0.3"/>
    <row r="27" spans="4:8" s="4" customFormat="1" x14ac:dyDescent="0.3"/>
  </sheetData>
  <sheetProtection sheet="1" objects="1" scenarios="1" selectLockedCells="1"/>
  <dataValidations count="3">
    <dataValidation type="list" allowBlank="1" showInputMessage="1" showErrorMessage="1" sqref="E13" xr:uid="{5CD3E292-9284-4D68-ABFC-2F90065DB51D}">
      <formula1>"Homme,Femme"</formula1>
    </dataValidation>
    <dataValidation type="list" allowBlank="1" showInputMessage="1" showErrorMessage="1" sqref="G13" xr:uid="{DF67B89E-4BB2-4CC9-BEE6-0DB2DD80CFFA}">
      <formula1>"Mecanique,Electric"</formula1>
    </dataValidation>
    <dataValidation showInputMessage="1" showErrorMessage="1" sqref="G10" xr:uid="{88CCFDE7-6842-41CC-9E6E-CC2F1923D735}"/>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5CAC9-4F74-47FC-913E-AABBA6D0516B}">
  <sheetPr codeName="Sheet5">
    <tabColor rgb="FF00B050"/>
  </sheetPr>
  <dimension ref="A1:CKM92"/>
  <sheetViews>
    <sheetView topLeftCell="A3" zoomScaleNormal="100" workbookViewId="0">
      <selection activeCell="A11" sqref="A11:XFD11"/>
    </sheetView>
  </sheetViews>
  <sheetFormatPr defaultRowHeight="14.4" x14ac:dyDescent="0.3"/>
  <cols>
    <col min="1" max="3" width="8.88671875" style="1"/>
    <col min="4" max="4" width="32" style="1" bestFit="1" customWidth="1"/>
    <col min="5" max="5" width="17.109375" style="1" customWidth="1"/>
    <col min="6" max="6" width="18.109375" style="1" bestFit="1" customWidth="1"/>
    <col min="7" max="7" width="20.21875" style="14" bestFit="1" customWidth="1"/>
    <col min="8" max="8" width="20.44140625" style="1" bestFit="1" customWidth="1"/>
    <col min="9" max="9" width="15.5546875" style="1" customWidth="1"/>
    <col min="10" max="10" width="19" style="1" bestFit="1" customWidth="1"/>
    <col min="11" max="16384" width="8.88671875" style="1"/>
  </cols>
  <sheetData>
    <row r="1" spans="1:2327" s="2" customFormat="1" x14ac:dyDescent="0.3">
      <c r="G1" s="11"/>
    </row>
    <row r="2" spans="1:2327" s="2" customFormat="1" x14ac:dyDescent="0.3">
      <c r="G2" s="11"/>
    </row>
    <row r="3" spans="1:2327" s="2" customFormat="1" ht="27" customHeight="1" x14ac:dyDescent="0.3">
      <c r="D3" s="58" t="s">
        <v>57</v>
      </c>
      <c r="E3" s="58"/>
      <c r="F3" s="58"/>
      <c r="G3" s="58"/>
      <c r="H3" s="58"/>
      <c r="I3" s="58"/>
      <c r="J3" s="58"/>
    </row>
    <row r="4" spans="1:2327" s="4" customFormat="1" ht="16.8" customHeight="1" x14ac:dyDescent="0.3">
      <c r="A4" s="2"/>
      <c r="B4" s="2"/>
      <c r="C4" s="2"/>
      <c r="D4" s="58"/>
      <c r="E4" s="58"/>
      <c r="F4" s="58"/>
      <c r="G4" s="58"/>
      <c r="H4" s="58"/>
      <c r="I4" s="58"/>
      <c r="J4" s="58"/>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row>
    <row r="5" spans="1:2327" s="4" customFormat="1" ht="21.6" x14ac:dyDescent="0.3">
      <c r="D5" s="10" t="s">
        <v>22</v>
      </c>
      <c r="E5" s="10" t="s">
        <v>21</v>
      </c>
      <c r="F5" s="10" t="s">
        <v>23</v>
      </c>
      <c r="G5" s="12" t="s">
        <v>25</v>
      </c>
      <c r="H5" s="10" t="s">
        <v>26</v>
      </c>
      <c r="I5" s="10" t="s">
        <v>20</v>
      </c>
      <c r="J5" s="10" t="s">
        <v>54</v>
      </c>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c r="AMK5" s="9"/>
      <c r="AML5" s="9"/>
      <c r="AMM5" s="9"/>
      <c r="AMN5" s="9"/>
      <c r="AMO5" s="9"/>
      <c r="AMP5" s="9"/>
      <c r="AMQ5" s="9"/>
      <c r="AMR5" s="9"/>
      <c r="AMS5" s="9"/>
      <c r="AMT5" s="9"/>
      <c r="AMU5" s="9"/>
      <c r="AMV5" s="9"/>
      <c r="AMW5" s="9"/>
      <c r="AMX5" s="9"/>
      <c r="AMY5" s="9"/>
      <c r="AMZ5" s="9"/>
      <c r="ANA5" s="9"/>
      <c r="ANB5" s="9"/>
      <c r="ANC5" s="9"/>
      <c r="AND5" s="9"/>
      <c r="ANE5" s="9"/>
      <c r="ANF5" s="9"/>
      <c r="ANG5" s="9"/>
      <c r="ANH5" s="9"/>
      <c r="ANI5" s="9"/>
      <c r="ANJ5" s="9"/>
      <c r="ANK5" s="9"/>
      <c r="ANL5" s="9"/>
      <c r="ANM5" s="9"/>
      <c r="ANN5" s="9"/>
      <c r="ANO5" s="9"/>
      <c r="ANP5" s="9"/>
      <c r="ANQ5" s="9"/>
      <c r="ANR5" s="9"/>
      <c r="ANS5" s="9"/>
      <c r="ANT5" s="9"/>
      <c r="ANU5" s="9"/>
      <c r="ANV5" s="9"/>
      <c r="ANW5" s="9"/>
      <c r="ANX5" s="9"/>
      <c r="ANY5" s="9"/>
      <c r="ANZ5" s="9"/>
      <c r="AOA5" s="9"/>
      <c r="AOB5" s="9"/>
      <c r="AOC5" s="9"/>
      <c r="AOD5" s="9"/>
      <c r="AOE5" s="9"/>
      <c r="AOF5" s="9"/>
      <c r="AOG5" s="9"/>
      <c r="AOH5" s="9"/>
      <c r="AOI5" s="9"/>
      <c r="AOJ5" s="9"/>
      <c r="AOK5" s="9"/>
      <c r="AOL5" s="9"/>
      <c r="AOM5" s="9"/>
      <c r="AON5" s="9"/>
      <c r="AOO5" s="9"/>
      <c r="AOP5" s="9"/>
      <c r="AOQ5" s="9"/>
      <c r="AOR5" s="9"/>
      <c r="AOS5" s="9"/>
      <c r="AOT5" s="9"/>
      <c r="AOU5" s="9"/>
      <c r="AOV5" s="9"/>
      <c r="AOW5" s="9"/>
      <c r="AOX5" s="9"/>
      <c r="AOY5" s="9"/>
      <c r="AOZ5" s="9"/>
      <c r="APA5" s="9"/>
      <c r="APB5" s="9"/>
      <c r="APC5" s="9"/>
      <c r="APD5" s="9"/>
      <c r="APE5" s="9"/>
      <c r="APF5" s="9"/>
      <c r="APG5" s="9"/>
      <c r="APH5" s="9"/>
      <c r="API5" s="9"/>
      <c r="APJ5" s="9"/>
      <c r="APK5" s="9"/>
      <c r="APL5" s="9"/>
      <c r="APM5" s="9"/>
      <c r="APN5" s="9"/>
      <c r="APO5" s="9"/>
      <c r="APP5" s="9"/>
      <c r="APQ5" s="9"/>
      <c r="APR5" s="9"/>
      <c r="APS5" s="9"/>
      <c r="APT5" s="9"/>
      <c r="APU5" s="9"/>
      <c r="APV5" s="9"/>
      <c r="APW5" s="9"/>
      <c r="APX5" s="9"/>
      <c r="APY5" s="9"/>
      <c r="APZ5" s="9"/>
      <c r="AQA5" s="9"/>
      <c r="AQB5" s="9"/>
      <c r="AQC5" s="9"/>
      <c r="AQD5" s="9"/>
      <c r="AQE5" s="9"/>
      <c r="AQF5" s="9"/>
      <c r="AQG5" s="9"/>
      <c r="AQH5" s="9"/>
      <c r="AQI5" s="9"/>
      <c r="AQJ5" s="9"/>
      <c r="AQK5" s="9"/>
      <c r="AQL5" s="9"/>
      <c r="AQM5" s="9"/>
      <c r="AQN5" s="9"/>
      <c r="AQO5" s="9"/>
      <c r="AQP5" s="9"/>
      <c r="AQQ5" s="9"/>
      <c r="AQR5" s="9"/>
      <c r="AQS5" s="9"/>
      <c r="AQT5" s="9"/>
      <c r="AQU5" s="9"/>
      <c r="AQV5" s="9"/>
      <c r="AQW5" s="9"/>
      <c r="AQX5" s="9"/>
      <c r="AQY5" s="9"/>
      <c r="AQZ5" s="9"/>
      <c r="ARA5" s="9"/>
      <c r="ARB5" s="9"/>
      <c r="ARC5" s="9"/>
      <c r="ARD5" s="9"/>
      <c r="ARE5" s="9"/>
      <c r="ARF5" s="9"/>
      <c r="ARG5" s="9"/>
      <c r="ARH5" s="9"/>
      <c r="ARI5" s="9"/>
      <c r="ARJ5" s="9"/>
      <c r="ARK5" s="9"/>
      <c r="ARL5" s="9"/>
      <c r="ARM5" s="9"/>
      <c r="ARN5" s="9"/>
      <c r="ARO5" s="9"/>
      <c r="ARP5" s="9"/>
      <c r="ARQ5" s="9"/>
      <c r="ARR5" s="9"/>
      <c r="ARS5" s="9"/>
      <c r="ART5" s="9"/>
      <c r="ARU5" s="9"/>
      <c r="ARV5" s="9"/>
      <c r="ARW5" s="9"/>
      <c r="ARX5" s="9"/>
      <c r="ARY5" s="9"/>
      <c r="ARZ5" s="9"/>
      <c r="ASA5" s="9"/>
      <c r="ASB5" s="9"/>
      <c r="ASC5" s="9"/>
      <c r="ASD5" s="9"/>
      <c r="ASE5" s="9"/>
      <c r="ASF5" s="9"/>
      <c r="ASG5" s="9"/>
      <c r="ASH5" s="9"/>
      <c r="ASI5" s="9"/>
      <c r="ASJ5" s="9"/>
      <c r="ASK5" s="9"/>
      <c r="ASL5" s="9"/>
      <c r="ASM5" s="9"/>
      <c r="ASN5" s="9"/>
      <c r="ASO5" s="9"/>
      <c r="ASP5" s="9"/>
      <c r="ASQ5" s="9"/>
      <c r="ASR5" s="9"/>
      <c r="ASS5" s="9"/>
      <c r="AST5" s="9"/>
      <c r="ASU5" s="9"/>
      <c r="ASV5" s="9"/>
      <c r="ASW5" s="9"/>
      <c r="ASX5" s="9"/>
      <c r="ASY5" s="9"/>
      <c r="ASZ5" s="9"/>
      <c r="ATA5" s="9"/>
      <c r="ATB5" s="9"/>
      <c r="ATC5" s="9"/>
      <c r="ATD5" s="9"/>
      <c r="ATE5" s="9"/>
      <c r="ATF5" s="9"/>
      <c r="ATG5" s="9"/>
      <c r="ATH5" s="9"/>
      <c r="ATI5" s="9"/>
      <c r="ATJ5" s="9"/>
      <c r="ATK5" s="9"/>
      <c r="ATL5" s="9"/>
      <c r="ATM5" s="9"/>
      <c r="ATN5" s="9"/>
      <c r="ATO5" s="9"/>
      <c r="ATP5" s="9"/>
      <c r="ATQ5" s="9"/>
      <c r="ATR5" s="9"/>
      <c r="ATS5" s="9"/>
      <c r="ATT5" s="9"/>
      <c r="ATU5" s="9"/>
      <c r="ATV5" s="9"/>
      <c r="ATW5" s="9"/>
      <c r="ATX5" s="9"/>
      <c r="ATY5" s="9"/>
      <c r="ATZ5" s="9"/>
      <c r="AUA5" s="9"/>
      <c r="AUB5" s="9"/>
      <c r="AUC5" s="9"/>
      <c r="AUD5" s="9"/>
      <c r="AUE5" s="9"/>
      <c r="AUF5" s="9"/>
      <c r="AUG5" s="9"/>
      <c r="AUH5" s="9"/>
      <c r="AUI5" s="9"/>
      <c r="AUJ5" s="9"/>
      <c r="AUK5" s="9"/>
      <c r="AUL5" s="9"/>
      <c r="AUM5" s="9"/>
      <c r="AUN5" s="9"/>
      <c r="AUO5" s="9"/>
      <c r="AUP5" s="9"/>
      <c r="AUQ5" s="9"/>
      <c r="AUR5" s="9"/>
      <c r="AUS5" s="9"/>
      <c r="AUT5" s="9"/>
      <c r="AUU5" s="9"/>
      <c r="AUV5" s="9"/>
      <c r="AUW5" s="9"/>
      <c r="AUX5" s="9"/>
      <c r="AUY5" s="9"/>
      <c r="AUZ5" s="9"/>
      <c r="AVA5" s="9"/>
      <c r="AVB5" s="9"/>
      <c r="AVC5" s="9"/>
      <c r="AVD5" s="9"/>
      <c r="AVE5" s="9"/>
      <c r="AVF5" s="9"/>
      <c r="AVG5" s="9"/>
      <c r="AVH5" s="9"/>
      <c r="AVI5" s="9"/>
      <c r="AVJ5" s="9"/>
      <c r="AVK5" s="9"/>
      <c r="AVL5" s="9"/>
      <c r="AVM5" s="9"/>
      <c r="AVN5" s="9"/>
      <c r="AVO5" s="9"/>
      <c r="AVP5" s="9"/>
      <c r="AVQ5" s="9"/>
      <c r="AVR5" s="9"/>
      <c r="AVS5" s="9"/>
      <c r="AVT5" s="9"/>
      <c r="AVU5" s="9"/>
      <c r="AVV5" s="9"/>
      <c r="AVW5" s="9"/>
      <c r="AVX5" s="9"/>
      <c r="AVY5" s="9"/>
      <c r="AVZ5" s="9"/>
      <c r="AWA5" s="9"/>
      <c r="AWB5" s="9"/>
      <c r="AWC5" s="9"/>
      <c r="AWD5" s="9"/>
      <c r="AWE5" s="9"/>
      <c r="AWF5" s="9"/>
      <c r="AWG5" s="9"/>
      <c r="AWH5" s="9"/>
      <c r="AWI5" s="9"/>
      <c r="AWJ5" s="9"/>
      <c r="AWK5" s="9"/>
      <c r="AWL5" s="9"/>
      <c r="AWM5" s="9"/>
      <c r="AWN5" s="9"/>
      <c r="AWO5" s="9"/>
      <c r="AWP5" s="9"/>
      <c r="AWQ5" s="9"/>
      <c r="AWR5" s="9"/>
      <c r="AWS5" s="9"/>
      <c r="AWT5" s="9"/>
      <c r="AWU5" s="9"/>
      <c r="AWV5" s="9"/>
      <c r="AWW5" s="9"/>
      <c r="AWX5" s="9"/>
      <c r="AWY5" s="9"/>
      <c r="AWZ5" s="9"/>
      <c r="AXA5" s="9"/>
      <c r="AXB5" s="9"/>
      <c r="AXC5" s="9"/>
      <c r="AXD5" s="9"/>
      <c r="AXE5" s="9"/>
      <c r="AXF5" s="9"/>
      <c r="AXG5" s="9"/>
      <c r="AXH5" s="9"/>
      <c r="AXI5" s="9"/>
      <c r="AXJ5" s="9"/>
      <c r="AXK5" s="9"/>
      <c r="AXL5" s="9"/>
      <c r="AXM5" s="9"/>
      <c r="AXN5" s="9"/>
      <c r="AXO5" s="9"/>
      <c r="AXP5" s="9"/>
      <c r="AXQ5" s="9"/>
      <c r="AXR5" s="9"/>
      <c r="AXS5" s="9"/>
      <c r="AXT5" s="9"/>
      <c r="AXU5" s="9"/>
      <c r="AXV5" s="9"/>
      <c r="AXW5" s="9"/>
      <c r="AXX5" s="9"/>
      <c r="AXY5" s="9"/>
      <c r="AXZ5" s="9"/>
      <c r="AYA5" s="9"/>
      <c r="AYB5" s="9"/>
      <c r="AYC5" s="9"/>
      <c r="AYD5" s="9"/>
      <c r="AYE5" s="9"/>
      <c r="AYF5" s="9"/>
      <c r="AYG5" s="9"/>
      <c r="AYH5" s="9"/>
      <c r="AYI5" s="9"/>
      <c r="AYJ5" s="9"/>
      <c r="AYK5" s="9"/>
      <c r="AYL5" s="9"/>
      <c r="AYM5" s="9"/>
      <c r="AYN5" s="9"/>
      <c r="AYO5" s="9"/>
      <c r="AYP5" s="9"/>
      <c r="AYQ5" s="9"/>
      <c r="AYR5" s="9"/>
      <c r="AYS5" s="9"/>
      <c r="AYT5" s="9"/>
      <c r="AYU5" s="9"/>
      <c r="AYV5" s="9"/>
      <c r="AYW5" s="9"/>
      <c r="AYX5" s="9"/>
      <c r="AYY5" s="9"/>
      <c r="AYZ5" s="9"/>
      <c r="AZA5" s="9"/>
      <c r="AZB5" s="9"/>
      <c r="AZC5" s="9"/>
      <c r="AZD5" s="9"/>
      <c r="AZE5" s="9"/>
      <c r="AZF5" s="9"/>
      <c r="AZG5" s="9"/>
      <c r="AZH5" s="9"/>
      <c r="AZI5" s="9"/>
      <c r="AZJ5" s="9"/>
      <c r="AZK5" s="9"/>
      <c r="AZL5" s="9"/>
      <c r="AZM5" s="9"/>
      <c r="AZN5" s="9"/>
      <c r="AZO5" s="9"/>
      <c r="AZP5" s="9"/>
      <c r="AZQ5" s="9"/>
      <c r="AZR5" s="9"/>
      <c r="AZS5" s="9"/>
      <c r="AZT5" s="9"/>
      <c r="AZU5" s="9"/>
      <c r="AZV5" s="9"/>
      <c r="AZW5" s="9"/>
      <c r="AZX5" s="9"/>
      <c r="AZY5" s="9"/>
      <c r="AZZ5" s="9"/>
      <c r="BAA5" s="9"/>
      <c r="BAB5" s="9"/>
      <c r="BAC5" s="9"/>
      <c r="BAD5" s="9"/>
      <c r="BAE5" s="9"/>
      <c r="BAF5" s="9"/>
      <c r="BAG5" s="9"/>
      <c r="BAH5" s="9"/>
      <c r="BAI5" s="9"/>
      <c r="BAJ5" s="9"/>
      <c r="BAK5" s="9"/>
      <c r="BAL5" s="9"/>
      <c r="BAM5" s="9"/>
      <c r="BAN5" s="9"/>
      <c r="BAO5" s="9"/>
      <c r="BAP5" s="9"/>
      <c r="BAQ5" s="9"/>
      <c r="BAR5" s="9"/>
      <c r="BAS5" s="9"/>
      <c r="BAT5" s="9"/>
      <c r="BAU5" s="9"/>
      <c r="BAV5" s="9"/>
      <c r="BAW5" s="9"/>
      <c r="BAX5" s="9"/>
      <c r="BAY5" s="9"/>
      <c r="BAZ5" s="9"/>
      <c r="BBA5" s="9"/>
      <c r="BBB5" s="9"/>
      <c r="BBC5" s="9"/>
      <c r="BBD5" s="9"/>
      <c r="BBE5" s="9"/>
      <c r="BBF5" s="9"/>
      <c r="BBG5" s="9"/>
      <c r="BBH5" s="9"/>
      <c r="BBI5" s="9"/>
      <c r="BBJ5" s="9"/>
      <c r="BBK5" s="9"/>
      <c r="BBL5" s="9"/>
      <c r="BBM5" s="9"/>
      <c r="BBN5" s="9"/>
      <c r="BBO5" s="9"/>
      <c r="BBP5" s="9"/>
      <c r="BBQ5" s="9"/>
      <c r="BBR5" s="9"/>
      <c r="BBS5" s="9"/>
      <c r="BBT5" s="9"/>
      <c r="BBU5" s="9"/>
      <c r="BBV5" s="9"/>
      <c r="BBW5" s="9"/>
      <c r="BBX5" s="9"/>
      <c r="BBY5" s="9"/>
      <c r="BBZ5" s="9"/>
      <c r="BCA5" s="9"/>
      <c r="BCB5" s="9"/>
      <c r="BCC5" s="9"/>
      <c r="BCD5" s="9"/>
      <c r="BCE5" s="9"/>
      <c r="BCF5" s="9"/>
      <c r="BCG5" s="9"/>
      <c r="BCH5" s="9"/>
      <c r="BCI5" s="9"/>
      <c r="BCJ5" s="9"/>
      <c r="BCK5" s="9"/>
      <c r="BCL5" s="9"/>
      <c r="BCM5" s="9"/>
      <c r="BCN5" s="9"/>
      <c r="BCO5" s="9"/>
      <c r="BCP5" s="9"/>
      <c r="BCQ5" s="9"/>
      <c r="BCR5" s="9"/>
      <c r="BCS5" s="9"/>
      <c r="BCT5" s="9"/>
      <c r="BCU5" s="9"/>
      <c r="BCV5" s="9"/>
      <c r="BCW5" s="9"/>
      <c r="BCX5" s="9"/>
      <c r="BCY5" s="9"/>
      <c r="BCZ5" s="9"/>
      <c r="BDA5" s="9"/>
      <c r="BDB5" s="9"/>
      <c r="BDC5" s="9"/>
      <c r="BDD5" s="9"/>
      <c r="BDE5" s="9"/>
      <c r="BDF5" s="9"/>
      <c r="BDG5" s="9"/>
      <c r="BDH5" s="9"/>
      <c r="BDI5" s="9"/>
      <c r="BDJ5" s="9"/>
      <c r="BDK5" s="9"/>
      <c r="BDL5" s="9"/>
      <c r="BDM5" s="9"/>
      <c r="BDN5" s="9"/>
      <c r="BDO5" s="9"/>
      <c r="BDP5" s="9"/>
      <c r="BDQ5" s="9"/>
      <c r="BDR5" s="9"/>
      <c r="BDS5" s="9"/>
      <c r="BDT5" s="9"/>
      <c r="BDU5" s="9"/>
      <c r="BDV5" s="9"/>
      <c r="BDW5" s="9"/>
      <c r="BDX5" s="9"/>
      <c r="BDY5" s="9"/>
      <c r="BDZ5" s="9"/>
      <c r="BEA5" s="9"/>
      <c r="BEB5" s="9"/>
      <c r="BEC5" s="9"/>
      <c r="BED5" s="9"/>
      <c r="BEE5" s="9"/>
      <c r="BEF5" s="9"/>
      <c r="BEG5" s="9"/>
      <c r="BEH5" s="9"/>
      <c r="BEI5" s="9"/>
      <c r="BEJ5" s="9"/>
      <c r="BEK5" s="9"/>
      <c r="BEL5" s="9"/>
      <c r="BEM5" s="9"/>
      <c r="BEN5" s="9"/>
      <c r="BEO5" s="9"/>
      <c r="BEP5" s="9"/>
      <c r="BEQ5" s="9"/>
      <c r="BER5" s="9"/>
      <c r="BES5" s="9"/>
      <c r="BET5" s="9"/>
      <c r="BEU5" s="9"/>
      <c r="BEV5" s="9"/>
      <c r="BEW5" s="9"/>
      <c r="BEX5" s="9"/>
      <c r="BEY5" s="9"/>
      <c r="BEZ5" s="9"/>
      <c r="BFA5" s="9"/>
      <c r="BFB5" s="9"/>
      <c r="BFC5" s="9"/>
      <c r="BFD5" s="9"/>
      <c r="BFE5" s="9"/>
      <c r="BFF5" s="9"/>
      <c r="BFG5" s="9"/>
      <c r="BFH5" s="9"/>
      <c r="BFI5" s="9"/>
      <c r="BFJ5" s="9"/>
      <c r="BFK5" s="9"/>
      <c r="BFL5" s="9"/>
      <c r="BFM5" s="9"/>
      <c r="BFN5" s="9"/>
      <c r="BFO5" s="9"/>
      <c r="BFP5" s="9"/>
      <c r="BFQ5" s="9"/>
      <c r="BFR5" s="9"/>
      <c r="BFS5" s="9"/>
      <c r="BFT5" s="9"/>
      <c r="BFU5" s="9"/>
      <c r="BFV5" s="9"/>
      <c r="BFW5" s="9"/>
      <c r="BFX5" s="9"/>
      <c r="BFY5" s="9"/>
      <c r="BFZ5" s="9"/>
      <c r="BGA5" s="9"/>
      <c r="BGB5" s="9"/>
      <c r="BGC5" s="9"/>
      <c r="BGD5" s="9"/>
      <c r="BGE5" s="9"/>
      <c r="BGF5" s="9"/>
      <c r="BGG5" s="9"/>
      <c r="BGH5" s="9"/>
      <c r="BGI5" s="9"/>
      <c r="BGJ5" s="9"/>
      <c r="BGK5" s="9"/>
      <c r="BGL5" s="9"/>
      <c r="BGM5" s="9"/>
      <c r="BGN5" s="9"/>
      <c r="BGO5" s="9"/>
      <c r="BGP5" s="9"/>
      <c r="BGQ5" s="9"/>
      <c r="BGR5" s="9"/>
      <c r="BGS5" s="9"/>
      <c r="BGT5" s="9"/>
      <c r="BGU5" s="9"/>
      <c r="BGV5" s="9"/>
      <c r="BGW5" s="9"/>
      <c r="BGX5" s="9"/>
      <c r="BGY5" s="9"/>
      <c r="BGZ5" s="9"/>
      <c r="BHA5" s="9"/>
      <c r="BHB5" s="9"/>
      <c r="BHC5" s="9"/>
      <c r="BHD5" s="9"/>
      <c r="BHE5" s="9"/>
      <c r="BHF5" s="9"/>
      <c r="BHG5" s="9"/>
      <c r="BHH5" s="9"/>
      <c r="BHI5" s="9"/>
      <c r="BHJ5" s="9"/>
      <c r="BHK5" s="9"/>
      <c r="BHL5" s="9"/>
      <c r="BHM5" s="9"/>
      <c r="BHN5" s="9"/>
      <c r="BHO5" s="9"/>
      <c r="BHP5" s="9"/>
      <c r="BHQ5" s="9"/>
      <c r="BHR5" s="9"/>
      <c r="BHS5" s="9"/>
      <c r="BHT5" s="9"/>
      <c r="BHU5" s="9"/>
      <c r="BHV5" s="9"/>
      <c r="BHW5" s="9"/>
      <c r="BHX5" s="9"/>
      <c r="BHY5" s="9"/>
      <c r="BHZ5" s="9"/>
      <c r="BIA5" s="9"/>
      <c r="BIB5" s="9"/>
      <c r="BIC5" s="9"/>
      <c r="BID5" s="9"/>
      <c r="BIE5" s="9"/>
      <c r="BIF5" s="9"/>
      <c r="BIG5" s="9"/>
      <c r="BIH5" s="9"/>
      <c r="BII5" s="9"/>
      <c r="BIJ5" s="9"/>
      <c r="BIK5" s="9"/>
      <c r="BIL5" s="9"/>
      <c r="BIM5" s="9"/>
      <c r="BIN5" s="9"/>
      <c r="BIO5" s="9"/>
      <c r="BIP5" s="9"/>
      <c r="BIQ5" s="9"/>
      <c r="BIR5" s="9"/>
      <c r="BIS5" s="9"/>
      <c r="BIT5" s="9"/>
      <c r="BIU5" s="9"/>
      <c r="BIV5" s="9"/>
      <c r="BIW5" s="9"/>
      <c r="BIX5" s="9"/>
      <c r="BIY5" s="9"/>
      <c r="BIZ5" s="9"/>
      <c r="BJA5" s="9"/>
      <c r="BJB5" s="9"/>
      <c r="BJC5" s="9"/>
      <c r="BJD5" s="9"/>
      <c r="BJE5" s="9"/>
      <c r="BJF5" s="9"/>
      <c r="BJG5" s="9"/>
      <c r="BJH5" s="9"/>
      <c r="BJI5" s="9"/>
      <c r="BJJ5" s="9"/>
      <c r="BJK5" s="9"/>
      <c r="BJL5" s="9"/>
      <c r="BJM5" s="9"/>
      <c r="BJN5" s="9"/>
      <c r="BJO5" s="9"/>
      <c r="BJP5" s="9"/>
      <c r="BJQ5" s="9"/>
      <c r="BJR5" s="9"/>
      <c r="BJS5" s="9"/>
      <c r="BJT5" s="9"/>
      <c r="BJU5" s="9"/>
      <c r="BJV5" s="9"/>
      <c r="BJW5" s="9"/>
      <c r="BJX5" s="9"/>
      <c r="BJY5" s="9"/>
      <c r="BJZ5" s="9"/>
      <c r="BKA5" s="9"/>
      <c r="BKB5" s="9"/>
      <c r="BKC5" s="9"/>
      <c r="BKD5" s="9"/>
      <c r="BKE5" s="9"/>
      <c r="BKF5" s="9"/>
      <c r="BKG5" s="9"/>
      <c r="BKH5" s="9"/>
      <c r="BKI5" s="9"/>
      <c r="BKJ5" s="9"/>
      <c r="BKK5" s="9"/>
      <c r="BKL5" s="9"/>
      <c r="BKM5" s="9"/>
      <c r="BKN5" s="9"/>
      <c r="BKO5" s="9"/>
      <c r="BKP5" s="9"/>
      <c r="BKQ5" s="9"/>
      <c r="BKR5" s="9"/>
      <c r="BKS5" s="9"/>
      <c r="BKT5" s="9"/>
      <c r="BKU5" s="9"/>
      <c r="BKV5" s="9"/>
      <c r="BKW5" s="9"/>
      <c r="BKX5" s="9"/>
      <c r="BKY5" s="9"/>
      <c r="BKZ5" s="9"/>
      <c r="BLA5" s="9"/>
      <c r="BLB5" s="9"/>
      <c r="BLC5" s="9"/>
      <c r="BLD5" s="9"/>
      <c r="BLE5" s="9"/>
      <c r="BLF5" s="9"/>
      <c r="BLG5" s="9"/>
      <c r="BLH5" s="9"/>
      <c r="BLI5" s="9"/>
      <c r="BLJ5" s="9"/>
      <c r="BLK5" s="9"/>
      <c r="BLL5" s="9"/>
      <c r="BLM5" s="9"/>
      <c r="BLN5" s="9"/>
      <c r="BLO5" s="9"/>
      <c r="BLP5" s="9"/>
      <c r="BLQ5" s="9"/>
      <c r="BLR5" s="9"/>
      <c r="BLS5" s="9"/>
      <c r="BLT5" s="9"/>
      <c r="BLU5" s="9"/>
      <c r="BLV5" s="9"/>
      <c r="BLW5" s="9"/>
      <c r="BLX5" s="9"/>
      <c r="BLY5" s="9"/>
      <c r="BLZ5" s="9"/>
      <c r="BMA5" s="9"/>
      <c r="BMB5" s="9"/>
      <c r="BMC5" s="9"/>
      <c r="BMD5" s="9"/>
      <c r="BME5" s="9"/>
      <c r="BMF5" s="9"/>
      <c r="BMG5" s="9"/>
      <c r="BMH5" s="9"/>
      <c r="BMI5" s="9"/>
      <c r="BMJ5" s="9"/>
      <c r="BMK5" s="9"/>
      <c r="BML5" s="9"/>
      <c r="BMM5" s="9"/>
      <c r="BMN5" s="9"/>
      <c r="BMO5" s="9"/>
      <c r="BMP5" s="9"/>
      <c r="BMQ5" s="9"/>
      <c r="BMR5" s="9"/>
      <c r="BMS5" s="9"/>
      <c r="BMT5" s="9"/>
      <c r="BMU5" s="9"/>
      <c r="BMV5" s="9"/>
      <c r="BMW5" s="9"/>
      <c r="BMX5" s="9"/>
      <c r="BMY5" s="9"/>
      <c r="BMZ5" s="9"/>
      <c r="BNA5" s="9"/>
      <c r="BNB5" s="9"/>
      <c r="BNC5" s="9"/>
      <c r="BND5" s="9"/>
      <c r="BNE5" s="9"/>
      <c r="BNF5" s="9"/>
      <c r="BNG5" s="9"/>
      <c r="BNH5" s="9"/>
      <c r="BNI5" s="9"/>
      <c r="BNJ5" s="9"/>
      <c r="BNK5" s="9"/>
      <c r="BNL5" s="9"/>
      <c r="BNM5" s="9"/>
      <c r="BNN5" s="9"/>
      <c r="BNO5" s="9"/>
      <c r="BNP5" s="9"/>
      <c r="BNQ5" s="9"/>
      <c r="BNR5" s="9"/>
      <c r="BNS5" s="9"/>
      <c r="BNT5" s="9"/>
      <c r="BNU5" s="9"/>
      <c r="BNV5" s="9"/>
      <c r="BNW5" s="9"/>
      <c r="BNX5" s="9"/>
      <c r="BNY5" s="9"/>
      <c r="BNZ5" s="9"/>
      <c r="BOA5" s="9"/>
      <c r="BOB5" s="9"/>
      <c r="BOC5" s="9"/>
      <c r="BOD5" s="9"/>
      <c r="BOE5" s="9"/>
      <c r="BOF5" s="9"/>
      <c r="BOG5" s="9"/>
      <c r="BOH5" s="9"/>
      <c r="BOI5" s="9"/>
      <c r="BOJ5" s="9"/>
      <c r="BOK5" s="9"/>
      <c r="BOL5" s="9"/>
      <c r="BOM5" s="9"/>
      <c r="BON5" s="9"/>
      <c r="BOO5" s="9"/>
      <c r="BOP5" s="9"/>
      <c r="BOQ5" s="9"/>
      <c r="BOR5" s="9"/>
      <c r="BOS5" s="9"/>
      <c r="BOT5" s="9"/>
      <c r="BOU5" s="9"/>
      <c r="BOV5" s="9"/>
      <c r="BOW5" s="9"/>
      <c r="BOX5" s="9"/>
      <c r="BOY5" s="9"/>
      <c r="BOZ5" s="9"/>
      <c r="BPA5" s="9"/>
      <c r="BPB5" s="9"/>
      <c r="BPC5" s="9"/>
      <c r="BPD5" s="9"/>
      <c r="BPE5" s="9"/>
      <c r="BPF5" s="9"/>
      <c r="BPG5" s="9"/>
      <c r="BPH5" s="9"/>
      <c r="BPI5" s="9"/>
      <c r="BPJ5" s="9"/>
      <c r="BPK5" s="9"/>
      <c r="BPL5" s="9"/>
      <c r="BPM5" s="9"/>
      <c r="BPN5" s="9"/>
      <c r="BPO5" s="9"/>
      <c r="BPP5" s="9"/>
      <c r="BPQ5" s="9"/>
      <c r="BPR5" s="9"/>
      <c r="BPS5" s="9"/>
      <c r="BPT5" s="9"/>
      <c r="BPU5" s="9"/>
      <c r="BPV5" s="9"/>
      <c r="BPW5" s="9"/>
      <c r="BPX5" s="9"/>
      <c r="BPY5" s="9"/>
      <c r="BPZ5" s="9"/>
      <c r="BQA5" s="9"/>
      <c r="BQB5" s="9"/>
      <c r="BQC5" s="9"/>
      <c r="BQD5" s="9"/>
      <c r="BQE5" s="9"/>
      <c r="BQF5" s="9"/>
      <c r="BQG5" s="9"/>
      <c r="BQH5" s="9"/>
      <c r="BQI5" s="9"/>
      <c r="BQJ5" s="9"/>
      <c r="BQK5" s="9"/>
      <c r="BQL5" s="9"/>
      <c r="BQM5" s="9"/>
      <c r="BQN5" s="9"/>
      <c r="BQO5" s="9"/>
      <c r="BQP5" s="9"/>
      <c r="BQQ5" s="9"/>
      <c r="BQR5" s="9"/>
      <c r="BQS5" s="9"/>
      <c r="BQT5" s="9"/>
      <c r="BQU5" s="9"/>
      <c r="BQV5" s="9"/>
      <c r="BQW5" s="9"/>
      <c r="BQX5" s="9"/>
      <c r="BQY5" s="9"/>
      <c r="BQZ5" s="9"/>
      <c r="BRA5" s="9"/>
      <c r="BRB5" s="9"/>
      <c r="BRC5" s="9"/>
      <c r="BRD5" s="9"/>
      <c r="BRE5" s="9"/>
      <c r="BRF5" s="9"/>
      <c r="BRG5" s="9"/>
      <c r="BRH5" s="9"/>
      <c r="BRI5" s="9"/>
      <c r="BRJ5" s="9"/>
      <c r="BRK5" s="9"/>
      <c r="BRL5" s="9"/>
      <c r="BRM5" s="9"/>
      <c r="BRN5" s="9"/>
      <c r="BRO5" s="9"/>
      <c r="BRP5" s="9"/>
      <c r="BRQ5" s="9"/>
      <c r="BRR5" s="9"/>
      <c r="BRS5" s="9"/>
      <c r="BRT5" s="9"/>
      <c r="BRU5" s="9"/>
      <c r="BRV5" s="9"/>
      <c r="BRW5" s="9"/>
      <c r="BRX5" s="9"/>
      <c r="BRY5" s="9"/>
      <c r="BRZ5" s="9"/>
      <c r="BSA5" s="9"/>
      <c r="BSB5" s="9"/>
      <c r="BSC5" s="9"/>
      <c r="BSD5" s="9"/>
      <c r="BSE5" s="9"/>
      <c r="BSF5" s="9"/>
      <c r="BSG5" s="9"/>
      <c r="BSH5" s="9"/>
      <c r="BSI5" s="9"/>
      <c r="BSJ5" s="9"/>
      <c r="BSK5" s="9"/>
      <c r="BSL5" s="9"/>
      <c r="BSM5" s="9"/>
      <c r="BSN5" s="9"/>
      <c r="BSO5" s="9"/>
      <c r="BSP5" s="9"/>
      <c r="BSQ5" s="9"/>
      <c r="BSR5" s="9"/>
      <c r="BSS5" s="9"/>
      <c r="BST5" s="9"/>
      <c r="BSU5" s="9"/>
      <c r="BSV5" s="9"/>
      <c r="BSW5" s="9"/>
      <c r="BSX5" s="9"/>
      <c r="BSY5" s="9"/>
      <c r="BSZ5" s="9"/>
      <c r="BTA5" s="9"/>
      <c r="BTB5" s="9"/>
      <c r="BTC5" s="9"/>
      <c r="BTD5" s="9"/>
      <c r="BTE5" s="9"/>
      <c r="BTF5" s="9"/>
      <c r="BTG5" s="9"/>
      <c r="BTH5" s="9"/>
      <c r="BTI5" s="9"/>
      <c r="BTJ5" s="9"/>
      <c r="BTK5" s="9"/>
      <c r="BTL5" s="9"/>
      <c r="BTM5" s="9"/>
      <c r="BTN5" s="9"/>
      <c r="BTO5" s="9"/>
      <c r="BTP5" s="9"/>
      <c r="BTQ5" s="9"/>
      <c r="BTR5" s="9"/>
      <c r="BTS5" s="9"/>
      <c r="BTT5" s="9"/>
      <c r="BTU5" s="9"/>
      <c r="BTV5" s="9"/>
      <c r="BTW5" s="9"/>
      <c r="BTX5" s="9"/>
      <c r="BTY5" s="9"/>
      <c r="BTZ5" s="9"/>
      <c r="BUA5" s="9"/>
      <c r="BUB5" s="9"/>
      <c r="BUC5" s="9"/>
      <c r="BUD5" s="9"/>
      <c r="BUE5" s="9"/>
      <c r="BUF5" s="9"/>
      <c r="BUG5" s="9"/>
      <c r="BUH5" s="9"/>
      <c r="BUI5" s="9"/>
      <c r="BUJ5" s="9"/>
      <c r="BUK5" s="9"/>
      <c r="BUL5" s="9"/>
      <c r="BUM5" s="9"/>
      <c r="BUN5" s="9"/>
      <c r="BUO5" s="9"/>
      <c r="BUP5" s="9"/>
      <c r="BUQ5" s="9"/>
      <c r="BUR5" s="9"/>
      <c r="BUS5" s="9"/>
      <c r="BUT5" s="9"/>
      <c r="BUU5" s="9"/>
      <c r="BUV5" s="9"/>
      <c r="BUW5" s="9"/>
      <c r="BUX5" s="9"/>
      <c r="BUY5" s="9"/>
      <c r="BUZ5" s="9"/>
      <c r="BVA5" s="9"/>
      <c r="BVB5" s="9"/>
      <c r="BVC5" s="9"/>
      <c r="BVD5" s="9"/>
      <c r="BVE5" s="9"/>
      <c r="BVF5" s="9"/>
      <c r="BVG5" s="9"/>
      <c r="BVH5" s="9"/>
      <c r="BVI5" s="9"/>
      <c r="BVJ5" s="9"/>
      <c r="BVK5" s="9"/>
      <c r="BVL5" s="9"/>
      <c r="BVM5" s="9"/>
      <c r="BVN5" s="9"/>
      <c r="BVO5" s="9"/>
      <c r="BVP5" s="9"/>
      <c r="BVQ5" s="9"/>
      <c r="BVR5" s="9"/>
      <c r="BVS5" s="9"/>
      <c r="BVT5" s="9"/>
      <c r="BVU5" s="9"/>
      <c r="BVV5" s="9"/>
      <c r="BVW5" s="9"/>
      <c r="BVX5" s="9"/>
      <c r="BVY5" s="9"/>
      <c r="BVZ5" s="9"/>
      <c r="BWA5" s="9"/>
      <c r="BWB5" s="9"/>
      <c r="BWC5" s="9"/>
      <c r="BWD5" s="9"/>
      <c r="BWE5" s="9"/>
      <c r="BWF5" s="9"/>
      <c r="BWG5" s="9"/>
      <c r="BWH5" s="9"/>
      <c r="BWI5" s="9"/>
      <c r="BWJ5" s="9"/>
      <c r="BWK5" s="9"/>
      <c r="BWL5" s="9"/>
      <c r="BWM5" s="9"/>
      <c r="BWN5" s="9"/>
      <c r="BWO5" s="9"/>
      <c r="BWP5" s="9"/>
      <c r="BWQ5" s="9"/>
      <c r="BWR5" s="9"/>
      <c r="BWS5" s="9"/>
      <c r="BWT5" s="9"/>
      <c r="BWU5" s="9"/>
      <c r="BWV5" s="9"/>
      <c r="BWW5" s="9"/>
      <c r="BWX5" s="9"/>
      <c r="BWY5" s="9"/>
      <c r="BWZ5" s="9"/>
      <c r="BXA5" s="9"/>
      <c r="BXB5" s="9"/>
      <c r="BXC5" s="9"/>
      <c r="BXD5" s="9"/>
      <c r="BXE5" s="9"/>
      <c r="BXF5" s="9"/>
      <c r="BXG5" s="9"/>
      <c r="BXH5" s="9"/>
      <c r="BXI5" s="9"/>
      <c r="BXJ5" s="9"/>
      <c r="BXK5" s="9"/>
      <c r="BXL5" s="9"/>
      <c r="BXM5" s="9"/>
      <c r="BXN5" s="9"/>
      <c r="BXO5" s="9"/>
      <c r="BXP5" s="9"/>
      <c r="BXQ5" s="9"/>
      <c r="BXR5" s="9"/>
      <c r="BXS5" s="9"/>
      <c r="BXT5" s="9"/>
      <c r="BXU5" s="9"/>
      <c r="BXV5" s="9"/>
      <c r="BXW5" s="9"/>
      <c r="BXX5" s="9"/>
      <c r="BXY5" s="9"/>
      <c r="BXZ5" s="9"/>
      <c r="BYA5" s="9"/>
      <c r="BYB5" s="9"/>
      <c r="BYC5" s="9"/>
      <c r="BYD5" s="9"/>
      <c r="BYE5" s="9"/>
      <c r="BYF5" s="9"/>
      <c r="BYG5" s="9"/>
      <c r="BYH5" s="9"/>
      <c r="BYI5" s="9"/>
      <c r="BYJ5" s="9"/>
      <c r="BYK5" s="9"/>
      <c r="BYL5" s="9"/>
      <c r="BYM5" s="9"/>
      <c r="BYN5" s="9"/>
      <c r="BYO5" s="9"/>
      <c r="BYP5" s="9"/>
      <c r="BYQ5" s="9"/>
      <c r="BYR5" s="9"/>
      <c r="BYS5" s="9"/>
      <c r="BYT5" s="9"/>
      <c r="BYU5" s="9"/>
      <c r="BYV5" s="9"/>
      <c r="BYW5" s="9"/>
      <c r="BYX5" s="9"/>
      <c r="BYY5" s="9"/>
      <c r="BYZ5" s="9"/>
      <c r="BZA5" s="9"/>
      <c r="BZB5" s="9"/>
      <c r="BZC5" s="9"/>
      <c r="BZD5" s="9"/>
      <c r="BZE5" s="9"/>
      <c r="BZF5" s="9"/>
      <c r="BZG5" s="9"/>
      <c r="BZH5" s="9"/>
      <c r="BZI5" s="9"/>
      <c r="BZJ5" s="9"/>
      <c r="BZK5" s="9"/>
      <c r="BZL5" s="9"/>
      <c r="BZM5" s="9"/>
      <c r="BZN5" s="9"/>
      <c r="BZO5" s="9"/>
      <c r="BZP5" s="9"/>
      <c r="BZQ5" s="9"/>
      <c r="BZR5" s="9"/>
      <c r="BZS5" s="9"/>
      <c r="BZT5" s="9"/>
      <c r="BZU5" s="9"/>
      <c r="BZV5" s="9"/>
      <c r="BZW5" s="9"/>
      <c r="BZX5" s="9"/>
      <c r="BZY5" s="9"/>
      <c r="BZZ5" s="9"/>
      <c r="CAA5" s="9"/>
      <c r="CAB5" s="9"/>
      <c r="CAC5" s="9"/>
      <c r="CAD5" s="9"/>
      <c r="CAE5" s="9"/>
      <c r="CAF5" s="9"/>
      <c r="CAG5" s="9"/>
      <c r="CAH5" s="9"/>
      <c r="CAI5" s="9"/>
      <c r="CAJ5" s="9"/>
      <c r="CAK5" s="9"/>
      <c r="CAL5" s="9"/>
      <c r="CAM5" s="9"/>
      <c r="CAN5" s="9"/>
      <c r="CAO5" s="9"/>
      <c r="CAP5" s="9"/>
      <c r="CAQ5" s="9"/>
      <c r="CAR5" s="9"/>
      <c r="CAS5" s="9"/>
      <c r="CAT5" s="9"/>
      <c r="CAU5" s="9"/>
      <c r="CAV5" s="9"/>
      <c r="CAW5" s="9"/>
      <c r="CAX5" s="9"/>
      <c r="CAY5" s="9"/>
      <c r="CAZ5" s="9"/>
      <c r="CBA5" s="9"/>
      <c r="CBB5" s="9"/>
      <c r="CBC5" s="9"/>
      <c r="CBD5" s="9"/>
      <c r="CBE5" s="9"/>
      <c r="CBF5" s="9"/>
      <c r="CBG5" s="9"/>
      <c r="CBH5" s="9"/>
      <c r="CBI5" s="9"/>
      <c r="CBJ5" s="9"/>
      <c r="CBK5" s="9"/>
      <c r="CBL5" s="9"/>
      <c r="CBM5" s="9"/>
      <c r="CBN5" s="9"/>
      <c r="CBO5" s="9"/>
      <c r="CBP5" s="9"/>
      <c r="CBQ5" s="9"/>
      <c r="CBR5" s="9"/>
      <c r="CBS5" s="9"/>
      <c r="CBT5" s="9"/>
      <c r="CBU5" s="9"/>
      <c r="CBV5" s="9"/>
      <c r="CBW5" s="9"/>
      <c r="CBX5" s="9"/>
      <c r="CBY5" s="9"/>
      <c r="CBZ5" s="9"/>
      <c r="CCA5" s="9"/>
      <c r="CCB5" s="9"/>
      <c r="CCC5" s="9"/>
      <c r="CCD5" s="9"/>
      <c r="CCE5" s="9"/>
      <c r="CCF5" s="9"/>
      <c r="CCG5" s="9"/>
      <c r="CCH5" s="9"/>
      <c r="CCI5" s="9"/>
      <c r="CCJ5" s="9"/>
      <c r="CCK5" s="9"/>
      <c r="CCL5" s="9"/>
      <c r="CCM5" s="9"/>
      <c r="CCN5" s="9"/>
      <c r="CCO5" s="9"/>
      <c r="CCP5" s="9"/>
      <c r="CCQ5" s="9"/>
      <c r="CCR5" s="9"/>
      <c r="CCS5" s="9"/>
      <c r="CCT5" s="9"/>
      <c r="CCU5" s="9"/>
      <c r="CCV5" s="9"/>
      <c r="CCW5" s="9"/>
      <c r="CCX5" s="9"/>
      <c r="CCY5" s="9"/>
      <c r="CCZ5" s="9"/>
      <c r="CDA5" s="9"/>
      <c r="CDB5" s="9"/>
      <c r="CDC5" s="9"/>
      <c r="CDD5" s="9"/>
      <c r="CDE5" s="9"/>
      <c r="CDF5" s="9"/>
      <c r="CDG5" s="9"/>
      <c r="CDH5" s="9"/>
      <c r="CDI5" s="9"/>
      <c r="CDJ5" s="9"/>
      <c r="CDK5" s="9"/>
      <c r="CDL5" s="9"/>
      <c r="CDM5" s="9"/>
      <c r="CDN5" s="9"/>
      <c r="CDO5" s="9"/>
      <c r="CDP5" s="9"/>
      <c r="CDQ5" s="9"/>
      <c r="CDR5" s="9"/>
      <c r="CDS5" s="9"/>
      <c r="CDT5" s="9"/>
      <c r="CDU5" s="9"/>
      <c r="CDV5" s="9"/>
      <c r="CDW5" s="9"/>
      <c r="CDX5" s="9"/>
      <c r="CDY5" s="9"/>
      <c r="CDZ5" s="9"/>
      <c r="CEA5" s="9"/>
      <c r="CEB5" s="9"/>
      <c r="CEC5" s="9"/>
      <c r="CED5" s="9"/>
      <c r="CEE5" s="9"/>
      <c r="CEF5" s="9"/>
      <c r="CEG5" s="9"/>
      <c r="CEH5" s="9"/>
      <c r="CEI5" s="9"/>
      <c r="CEJ5" s="9"/>
      <c r="CEK5" s="9"/>
      <c r="CEL5" s="9"/>
      <c r="CEM5" s="9"/>
      <c r="CEN5" s="9"/>
      <c r="CEO5" s="9"/>
      <c r="CEP5" s="9"/>
      <c r="CEQ5" s="9"/>
      <c r="CER5" s="9"/>
      <c r="CES5" s="9"/>
      <c r="CET5" s="9"/>
      <c r="CEU5" s="9"/>
      <c r="CEV5" s="9"/>
      <c r="CEW5" s="9"/>
      <c r="CEX5" s="9"/>
      <c r="CEY5" s="9"/>
      <c r="CEZ5" s="9"/>
      <c r="CFA5" s="9"/>
      <c r="CFB5" s="9"/>
      <c r="CFC5" s="9"/>
      <c r="CFD5" s="9"/>
      <c r="CFE5" s="9"/>
      <c r="CFF5" s="9"/>
      <c r="CFG5" s="9"/>
      <c r="CFH5" s="9"/>
      <c r="CFI5" s="9"/>
      <c r="CFJ5" s="9"/>
      <c r="CFK5" s="9"/>
      <c r="CFL5" s="9"/>
      <c r="CFM5" s="9"/>
      <c r="CFN5" s="9"/>
      <c r="CFO5" s="9"/>
      <c r="CFP5" s="9"/>
      <c r="CFQ5" s="9"/>
      <c r="CFR5" s="9"/>
      <c r="CFS5" s="9"/>
      <c r="CFT5" s="9"/>
      <c r="CFU5" s="9"/>
      <c r="CFV5" s="9"/>
      <c r="CFW5" s="9"/>
      <c r="CFX5" s="9"/>
      <c r="CFY5" s="9"/>
      <c r="CFZ5" s="9"/>
      <c r="CGA5" s="9"/>
      <c r="CGB5" s="9"/>
      <c r="CGC5" s="9"/>
      <c r="CGD5" s="9"/>
      <c r="CGE5" s="9"/>
      <c r="CGF5" s="9"/>
      <c r="CGG5" s="9"/>
      <c r="CGH5" s="9"/>
      <c r="CGI5" s="9"/>
      <c r="CGJ5" s="9"/>
      <c r="CGK5" s="9"/>
      <c r="CGL5" s="9"/>
      <c r="CGM5" s="9"/>
      <c r="CGN5" s="9"/>
      <c r="CGO5" s="9"/>
      <c r="CGP5" s="9"/>
      <c r="CGQ5" s="9"/>
      <c r="CGR5" s="9"/>
      <c r="CGS5" s="9"/>
      <c r="CGT5" s="9"/>
      <c r="CGU5" s="9"/>
      <c r="CGV5" s="9"/>
      <c r="CGW5" s="9"/>
      <c r="CGX5" s="9"/>
      <c r="CGY5" s="9"/>
      <c r="CGZ5" s="9"/>
      <c r="CHA5" s="9"/>
      <c r="CHB5" s="9"/>
      <c r="CHC5" s="9"/>
      <c r="CHD5" s="9"/>
      <c r="CHE5" s="9"/>
      <c r="CHF5" s="9"/>
      <c r="CHG5" s="9"/>
      <c r="CHH5" s="9"/>
      <c r="CHI5" s="9"/>
      <c r="CHJ5" s="9"/>
      <c r="CHK5" s="9"/>
      <c r="CHL5" s="9"/>
      <c r="CHM5" s="9"/>
      <c r="CHN5" s="9"/>
      <c r="CHO5" s="9"/>
      <c r="CHP5" s="9"/>
      <c r="CHQ5" s="9"/>
      <c r="CHR5" s="9"/>
      <c r="CHS5" s="9"/>
      <c r="CHT5" s="9"/>
      <c r="CHU5" s="9"/>
      <c r="CHV5" s="9"/>
      <c r="CHW5" s="9"/>
      <c r="CHX5" s="9"/>
      <c r="CHY5" s="9"/>
      <c r="CHZ5" s="9"/>
      <c r="CIA5" s="9"/>
      <c r="CIB5" s="9"/>
      <c r="CIC5" s="9"/>
      <c r="CID5" s="9"/>
      <c r="CIE5" s="9"/>
      <c r="CIF5" s="9"/>
      <c r="CIG5" s="9"/>
      <c r="CIH5" s="9"/>
      <c r="CII5" s="9"/>
      <c r="CIJ5" s="9"/>
      <c r="CIK5" s="9"/>
      <c r="CIL5" s="9"/>
      <c r="CIM5" s="9"/>
      <c r="CIN5" s="9"/>
      <c r="CIO5" s="9"/>
      <c r="CIP5" s="9"/>
      <c r="CIQ5" s="9"/>
      <c r="CIR5" s="9"/>
      <c r="CIS5" s="9"/>
      <c r="CIT5" s="9"/>
      <c r="CIU5" s="9"/>
      <c r="CIV5" s="9"/>
      <c r="CIW5" s="9"/>
      <c r="CIX5" s="9"/>
      <c r="CIY5" s="9"/>
      <c r="CIZ5" s="9"/>
      <c r="CJA5" s="9"/>
      <c r="CJB5" s="9"/>
      <c r="CJC5" s="9"/>
      <c r="CJD5" s="9"/>
      <c r="CJE5" s="9"/>
      <c r="CJF5" s="9"/>
      <c r="CJG5" s="9"/>
      <c r="CJH5" s="9"/>
      <c r="CJI5" s="9"/>
      <c r="CJJ5" s="9"/>
      <c r="CJK5" s="9"/>
      <c r="CJL5" s="9"/>
      <c r="CJM5" s="9"/>
      <c r="CJN5" s="9"/>
      <c r="CJO5" s="9"/>
      <c r="CJP5" s="9"/>
      <c r="CJQ5" s="9"/>
      <c r="CJR5" s="9"/>
      <c r="CJS5" s="9"/>
      <c r="CJT5" s="9"/>
      <c r="CJU5" s="9"/>
      <c r="CJV5" s="9"/>
      <c r="CJW5" s="9"/>
      <c r="CJX5" s="9"/>
      <c r="CJY5" s="9"/>
      <c r="CJZ5" s="9"/>
      <c r="CKA5" s="9"/>
      <c r="CKB5" s="9"/>
      <c r="CKC5" s="9"/>
      <c r="CKD5" s="9"/>
      <c r="CKE5" s="9"/>
      <c r="CKF5" s="9"/>
      <c r="CKG5" s="9"/>
      <c r="CKH5" s="9"/>
      <c r="CKI5" s="9"/>
      <c r="CKJ5" s="9"/>
      <c r="CKK5" s="9"/>
      <c r="CKL5" s="9"/>
      <c r="CKM5" s="9"/>
    </row>
    <row r="6" spans="1:2327" s="4" customFormat="1" ht="18" customHeight="1" x14ac:dyDescent="0.3">
      <c r="D6" s="10" t="s">
        <v>28</v>
      </c>
      <c r="E6" s="10" t="s">
        <v>0</v>
      </c>
      <c r="F6" s="10" t="s">
        <v>29</v>
      </c>
      <c r="G6" s="12" t="s">
        <v>9</v>
      </c>
      <c r="H6" s="10" t="s">
        <v>47</v>
      </c>
      <c r="I6" s="10"/>
      <c r="J6" s="10">
        <f>COUNTIF(tasksta[P.M],planslist[[#This Row],[Etiquette]])</f>
        <v>11</v>
      </c>
    </row>
    <row r="7" spans="1:2327" s="4" customFormat="1" ht="18" customHeight="1" x14ac:dyDescent="0.3">
      <c r="D7" s="10" t="s">
        <v>28</v>
      </c>
      <c r="E7" s="10" t="s">
        <v>1</v>
      </c>
      <c r="F7" s="10" t="s">
        <v>29</v>
      </c>
      <c r="G7" s="12" t="s">
        <v>17</v>
      </c>
      <c r="H7" s="10" t="s">
        <v>48</v>
      </c>
      <c r="I7" s="10"/>
      <c r="J7" s="10">
        <f>COUNTIF(tasksta[P.M],planslist[[#This Row],[Etiquette]])</f>
        <v>1</v>
      </c>
      <c r="AA7" s="24" t="s">
        <v>9</v>
      </c>
      <c r="AB7" s="4">
        <f>COUNTIF(planslist[Type],AA7)</f>
        <v>3</v>
      </c>
    </row>
    <row r="8" spans="1:2327" s="4" customFormat="1" ht="21.6" x14ac:dyDescent="0.3">
      <c r="D8" s="10" t="s">
        <v>28</v>
      </c>
      <c r="E8" s="10" t="s">
        <v>40</v>
      </c>
      <c r="F8" s="10" t="s">
        <v>34</v>
      </c>
      <c r="G8" s="12" t="s">
        <v>9</v>
      </c>
      <c r="H8" s="10" t="s">
        <v>47</v>
      </c>
      <c r="I8" s="10"/>
      <c r="J8" s="10">
        <f>COUNTIF(tasksta[P.M],planslist[[#This Row],[Etiquette]])</f>
        <v>0</v>
      </c>
      <c r="AA8" s="25" t="s">
        <v>17</v>
      </c>
      <c r="AB8" s="4">
        <f>COUNTIF(planslist[Type],AA8)</f>
        <v>2</v>
      </c>
    </row>
    <row r="9" spans="1:2327" s="4" customFormat="1" ht="21.6" x14ac:dyDescent="0.3">
      <c r="D9" s="10" t="s">
        <v>28</v>
      </c>
      <c r="E9" s="10" t="s">
        <v>44</v>
      </c>
      <c r="F9" s="10" t="s">
        <v>34</v>
      </c>
      <c r="G9" s="12" t="s">
        <v>9</v>
      </c>
      <c r="H9" s="10" t="s">
        <v>46</v>
      </c>
      <c r="I9" s="10"/>
      <c r="J9" s="10">
        <f>COUNTIF(tasksta[P.M],planslist[[#This Row],[Etiquette]])</f>
        <v>0</v>
      </c>
    </row>
    <row r="10" spans="1:2327" s="4" customFormat="1" ht="21.6" x14ac:dyDescent="0.3">
      <c r="D10" s="10" t="s">
        <v>52</v>
      </c>
      <c r="E10" s="10" t="s">
        <v>58</v>
      </c>
      <c r="F10" s="10" t="s">
        <v>29</v>
      </c>
      <c r="G10" s="12" t="s">
        <v>17</v>
      </c>
      <c r="H10" s="10" t="s">
        <v>46</v>
      </c>
      <c r="I10" s="10"/>
      <c r="J10" s="27">
        <f>COUNTIF(tasksta[P.M],planslist[[#This Row],[Etiquette]])</f>
        <v>2</v>
      </c>
    </row>
    <row r="11" spans="1:2327" s="4" customFormat="1" x14ac:dyDescent="0.3">
      <c r="G11" s="13"/>
    </row>
    <row r="12" spans="1:2327" s="4" customFormat="1" x14ac:dyDescent="0.3">
      <c r="G12" s="13"/>
    </row>
    <row r="13" spans="1:2327" s="4" customFormat="1" x14ac:dyDescent="0.3">
      <c r="G13" s="13"/>
    </row>
    <row r="14" spans="1:2327" s="4" customFormat="1" x14ac:dyDescent="0.3">
      <c r="G14" s="13"/>
    </row>
    <row r="15" spans="1:2327" s="4" customFormat="1" x14ac:dyDescent="0.3">
      <c r="G15" s="13"/>
    </row>
    <row r="16" spans="1:2327" s="4" customFormat="1" x14ac:dyDescent="0.3">
      <c r="G16" s="13"/>
    </row>
    <row r="17" spans="7:7" s="4" customFormat="1" x14ac:dyDescent="0.3">
      <c r="G17" s="13"/>
    </row>
    <row r="18" spans="7:7" s="4" customFormat="1" x14ac:dyDescent="0.3">
      <c r="G18" s="13"/>
    </row>
    <row r="19" spans="7:7" s="4" customFormat="1" x14ac:dyDescent="0.3">
      <c r="G19" s="13"/>
    </row>
    <row r="20" spans="7:7" s="4" customFormat="1" x14ac:dyDescent="0.3">
      <c r="G20" s="13"/>
    </row>
    <row r="21" spans="7:7" s="4" customFormat="1" x14ac:dyDescent="0.3">
      <c r="G21" s="13"/>
    </row>
    <row r="22" spans="7:7" s="4" customFormat="1" x14ac:dyDescent="0.3">
      <c r="G22" s="13"/>
    </row>
    <row r="23" spans="7:7" s="4" customFormat="1" x14ac:dyDescent="0.3">
      <c r="G23" s="13"/>
    </row>
    <row r="24" spans="7:7" s="4" customFormat="1" x14ac:dyDescent="0.3">
      <c r="G24" s="13"/>
    </row>
    <row r="25" spans="7:7" s="4" customFormat="1" x14ac:dyDescent="0.3">
      <c r="G25" s="13"/>
    </row>
    <row r="26" spans="7:7" s="4" customFormat="1" x14ac:dyDescent="0.3">
      <c r="G26" s="13"/>
    </row>
    <row r="27" spans="7:7" s="4" customFormat="1" x14ac:dyDescent="0.3">
      <c r="G27" s="13"/>
    </row>
    <row r="28" spans="7:7" s="4" customFormat="1" x14ac:dyDescent="0.3">
      <c r="G28" s="13"/>
    </row>
    <row r="29" spans="7:7" s="4" customFormat="1" x14ac:dyDescent="0.3">
      <c r="G29" s="13"/>
    </row>
    <row r="30" spans="7:7" s="4" customFormat="1" x14ac:dyDescent="0.3">
      <c r="G30" s="13"/>
    </row>
    <row r="31" spans="7:7" s="4" customFormat="1" x14ac:dyDescent="0.3">
      <c r="G31" s="13"/>
    </row>
    <row r="32" spans="7:7" s="4" customFormat="1" x14ac:dyDescent="0.3">
      <c r="G32" s="13"/>
    </row>
    <row r="33" spans="7:7" s="4" customFormat="1" x14ac:dyDescent="0.3">
      <c r="G33" s="13"/>
    </row>
    <row r="34" spans="7:7" s="4" customFormat="1" x14ac:dyDescent="0.3">
      <c r="G34" s="13"/>
    </row>
    <row r="35" spans="7:7" s="4" customFormat="1" x14ac:dyDescent="0.3">
      <c r="G35" s="13"/>
    </row>
    <row r="36" spans="7:7" s="4" customFormat="1" x14ac:dyDescent="0.3">
      <c r="G36" s="13"/>
    </row>
    <row r="37" spans="7:7" s="4" customFormat="1" x14ac:dyDescent="0.3">
      <c r="G37" s="13"/>
    </row>
    <row r="38" spans="7:7" s="4" customFormat="1" x14ac:dyDescent="0.3">
      <c r="G38" s="13"/>
    </row>
    <row r="39" spans="7:7" s="4" customFormat="1" x14ac:dyDescent="0.3">
      <c r="G39" s="13"/>
    </row>
    <row r="40" spans="7:7" s="4" customFormat="1" x14ac:dyDescent="0.3">
      <c r="G40" s="13"/>
    </row>
    <row r="41" spans="7:7" s="4" customFormat="1" x14ac:dyDescent="0.3">
      <c r="G41" s="13"/>
    </row>
    <row r="42" spans="7:7" s="4" customFormat="1" x14ac:dyDescent="0.3">
      <c r="G42" s="13"/>
    </row>
    <row r="43" spans="7:7" s="4" customFormat="1" x14ac:dyDescent="0.3">
      <c r="G43" s="13"/>
    </row>
    <row r="44" spans="7:7" s="4" customFormat="1" x14ac:dyDescent="0.3">
      <c r="G44" s="13"/>
    </row>
    <row r="45" spans="7:7" s="4" customFormat="1" x14ac:dyDescent="0.3">
      <c r="G45" s="13"/>
    </row>
    <row r="46" spans="7:7" s="4" customFormat="1" x14ac:dyDescent="0.3">
      <c r="G46" s="13"/>
    </row>
    <row r="47" spans="7:7" s="4" customFormat="1" x14ac:dyDescent="0.3">
      <c r="G47" s="13"/>
    </row>
    <row r="48" spans="7:7" s="4" customFormat="1" x14ac:dyDescent="0.3">
      <c r="G48" s="13"/>
    </row>
    <row r="49" spans="7:7" s="4" customFormat="1" x14ac:dyDescent="0.3">
      <c r="G49" s="13"/>
    </row>
    <row r="50" spans="7:7" s="4" customFormat="1" x14ac:dyDescent="0.3">
      <c r="G50" s="13"/>
    </row>
    <row r="51" spans="7:7" s="4" customFormat="1" x14ac:dyDescent="0.3">
      <c r="G51" s="13"/>
    </row>
    <row r="52" spans="7:7" s="4" customFormat="1" x14ac:dyDescent="0.3">
      <c r="G52" s="13"/>
    </row>
    <row r="53" spans="7:7" s="4" customFormat="1" x14ac:dyDescent="0.3">
      <c r="G53" s="13"/>
    </row>
    <row r="54" spans="7:7" s="4" customFormat="1" x14ac:dyDescent="0.3">
      <c r="G54" s="13"/>
    </row>
    <row r="55" spans="7:7" s="4" customFormat="1" x14ac:dyDescent="0.3">
      <c r="G55" s="13"/>
    </row>
    <row r="56" spans="7:7" s="4" customFormat="1" x14ac:dyDescent="0.3">
      <c r="G56" s="13"/>
    </row>
    <row r="57" spans="7:7" s="4" customFormat="1" x14ac:dyDescent="0.3">
      <c r="G57" s="13"/>
    </row>
    <row r="58" spans="7:7" s="4" customFormat="1" x14ac:dyDescent="0.3">
      <c r="G58" s="13"/>
    </row>
    <row r="59" spans="7:7" s="4" customFormat="1" x14ac:dyDescent="0.3">
      <c r="G59" s="13"/>
    </row>
    <row r="60" spans="7:7" s="4" customFormat="1" x14ac:dyDescent="0.3">
      <c r="G60" s="13"/>
    </row>
    <row r="61" spans="7:7" s="4" customFormat="1" x14ac:dyDescent="0.3">
      <c r="G61" s="13"/>
    </row>
    <row r="62" spans="7:7" s="4" customFormat="1" x14ac:dyDescent="0.3">
      <c r="G62" s="13"/>
    </row>
    <row r="63" spans="7:7" s="4" customFormat="1" x14ac:dyDescent="0.3">
      <c r="G63" s="13"/>
    </row>
    <row r="64" spans="7:7" s="4" customFormat="1" x14ac:dyDescent="0.3">
      <c r="G64" s="13"/>
    </row>
    <row r="65" spans="4:10" s="4" customFormat="1" x14ac:dyDescent="0.3">
      <c r="G65" s="13"/>
    </row>
    <row r="66" spans="4:10" s="4" customFormat="1" x14ac:dyDescent="0.3">
      <c r="G66" s="13"/>
    </row>
    <row r="67" spans="4:10" s="4" customFormat="1" x14ac:dyDescent="0.3">
      <c r="G67" s="13"/>
    </row>
    <row r="68" spans="4:10" s="4" customFormat="1" x14ac:dyDescent="0.3">
      <c r="G68" s="13"/>
    </row>
    <row r="69" spans="4:10" s="4" customFormat="1" x14ac:dyDescent="0.3">
      <c r="G69" s="13"/>
    </row>
    <row r="70" spans="4:10" s="4" customFormat="1" x14ac:dyDescent="0.3">
      <c r="G70" s="13"/>
    </row>
    <row r="71" spans="4:10" s="4" customFormat="1" x14ac:dyDescent="0.3">
      <c r="G71" s="13"/>
    </row>
    <row r="72" spans="4:10" s="4" customFormat="1" x14ac:dyDescent="0.3">
      <c r="G72" s="13"/>
    </row>
    <row r="73" spans="4:10" s="4" customFormat="1" x14ac:dyDescent="0.3">
      <c r="G73" s="13"/>
    </row>
    <row r="74" spans="4:10" s="4" customFormat="1" x14ac:dyDescent="0.3">
      <c r="G74" s="13"/>
    </row>
    <row r="75" spans="4:10" x14ac:dyDescent="0.3">
      <c r="D75" s="4"/>
      <c r="E75" s="4"/>
      <c r="F75" s="4"/>
      <c r="G75" s="13"/>
      <c r="H75" s="4"/>
      <c r="I75" s="4"/>
      <c r="J75" s="4"/>
    </row>
    <row r="76" spans="4:10" x14ac:dyDescent="0.3">
      <c r="D76" s="4"/>
      <c r="E76" s="4"/>
      <c r="F76" s="4"/>
      <c r="G76" s="13"/>
      <c r="H76" s="4"/>
      <c r="I76" s="4"/>
      <c r="J76" s="4"/>
    </row>
    <row r="77" spans="4:10" x14ac:dyDescent="0.3">
      <c r="D77" s="4"/>
      <c r="E77" s="4"/>
      <c r="F77" s="4"/>
      <c r="G77" s="13"/>
      <c r="H77" s="4"/>
      <c r="I77" s="4"/>
      <c r="J77" s="4"/>
    </row>
    <row r="78" spans="4:10" x14ac:dyDescent="0.3">
      <c r="D78" s="4"/>
      <c r="E78" s="4"/>
      <c r="F78" s="4"/>
      <c r="G78" s="13"/>
      <c r="H78" s="4"/>
      <c r="I78" s="4"/>
    </row>
    <row r="79" spans="4:10" x14ac:dyDescent="0.3">
      <c r="D79" s="4"/>
      <c r="E79" s="4"/>
      <c r="F79" s="4"/>
      <c r="G79" s="13"/>
      <c r="H79" s="4"/>
      <c r="I79" s="4"/>
    </row>
    <row r="80" spans="4:10" x14ac:dyDescent="0.3">
      <c r="D80" s="4"/>
      <c r="E80" s="4"/>
      <c r="F80" s="4"/>
      <c r="G80" s="13"/>
      <c r="H80" s="4"/>
      <c r="I80" s="4"/>
    </row>
    <row r="81" spans="4:9" x14ac:dyDescent="0.3">
      <c r="D81" s="4"/>
      <c r="E81" s="4"/>
      <c r="F81" s="4"/>
      <c r="G81" s="13"/>
      <c r="H81" s="4"/>
      <c r="I81" s="4"/>
    </row>
    <row r="82" spans="4:9" x14ac:dyDescent="0.3">
      <c r="D82" s="4"/>
      <c r="E82" s="4"/>
      <c r="F82" s="4"/>
      <c r="G82" s="13"/>
      <c r="H82" s="4"/>
      <c r="I82" s="4"/>
    </row>
    <row r="83" spans="4:9" x14ac:dyDescent="0.3">
      <c r="D83" s="4"/>
      <c r="E83" s="4"/>
      <c r="F83" s="4"/>
      <c r="G83" s="13"/>
      <c r="H83" s="4"/>
      <c r="I83" s="4"/>
    </row>
    <row r="84" spans="4:9" x14ac:dyDescent="0.3">
      <c r="D84" s="4"/>
      <c r="E84" s="4"/>
      <c r="F84" s="4"/>
      <c r="G84" s="13"/>
      <c r="H84" s="4"/>
      <c r="I84" s="4"/>
    </row>
    <row r="85" spans="4:9" x14ac:dyDescent="0.3">
      <c r="D85" s="4"/>
      <c r="E85" s="4"/>
      <c r="F85" s="4"/>
      <c r="G85" s="13"/>
      <c r="H85" s="4"/>
      <c r="I85" s="4"/>
    </row>
    <row r="86" spans="4:9" x14ac:dyDescent="0.3">
      <c r="D86" s="4"/>
      <c r="E86" s="4"/>
      <c r="F86" s="4"/>
      <c r="G86" s="13"/>
      <c r="H86" s="4"/>
      <c r="I86" s="4"/>
    </row>
    <row r="87" spans="4:9" x14ac:dyDescent="0.3">
      <c r="D87" s="4"/>
      <c r="E87" s="4"/>
      <c r="F87" s="4"/>
      <c r="G87" s="13"/>
      <c r="H87" s="4"/>
      <c r="I87" s="4"/>
    </row>
    <row r="88" spans="4:9" x14ac:dyDescent="0.3">
      <c r="D88" s="4"/>
      <c r="E88" s="4"/>
      <c r="F88" s="4"/>
      <c r="G88" s="13"/>
      <c r="H88" s="4"/>
      <c r="I88" s="4"/>
    </row>
    <row r="89" spans="4:9" x14ac:dyDescent="0.3">
      <c r="D89" s="4"/>
      <c r="E89" s="4"/>
      <c r="F89" s="4"/>
      <c r="G89" s="13"/>
      <c r="H89" s="4"/>
      <c r="I89" s="4"/>
    </row>
    <row r="90" spans="4:9" x14ac:dyDescent="0.3">
      <c r="D90" s="4"/>
      <c r="E90" s="4"/>
      <c r="F90" s="4"/>
      <c r="G90" s="13"/>
      <c r="H90" s="4"/>
      <c r="I90" s="4"/>
    </row>
    <row r="91" spans="4:9" x14ac:dyDescent="0.3">
      <c r="D91" s="4"/>
      <c r="E91" s="4"/>
      <c r="F91" s="4"/>
      <c r="G91" s="13"/>
      <c r="H91" s="4"/>
      <c r="I91" s="4"/>
    </row>
    <row r="92" spans="4:9" x14ac:dyDescent="0.3">
      <c r="D92" s="4"/>
      <c r="E92" s="4"/>
      <c r="F92" s="4"/>
      <c r="G92" s="13"/>
      <c r="H92" s="4"/>
      <c r="I92" s="4"/>
    </row>
  </sheetData>
  <mergeCells count="1">
    <mergeCell ref="D3:J4"/>
  </mergeCells>
  <phoneticPr fontId="1" type="noConversion"/>
  <dataValidations count="2">
    <dataValidation type="list" allowBlank="1" showInputMessage="1" showErrorMessage="1" sqref="H6:H10" xr:uid="{939C1A93-27FB-4C6E-A925-E7684184ABFD}">
      <formula1>"Quotidien,Hebdomadaire,Mensuel,Trimestriel,Semi-Annual,Annual,Biennial"</formula1>
    </dataValidation>
    <dataValidation type="list" allowBlank="1" showInputMessage="1" showErrorMessage="1" sqref="F6:F10" xr:uid="{5DB27ABF-2D4C-48D1-82F9-C7336C6A855E}">
      <formula1>"VERRE,PET1,PET2,PET3,PET4,Canette1,Canette2"</formula1>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48971-8616-4FE4-9EF4-FF0AD2A1B667}">
  <sheetPr codeName="Sheet6">
    <tabColor theme="9" tint="0.59999389629810485"/>
  </sheetPr>
  <dimension ref="A1:EN24"/>
  <sheetViews>
    <sheetView zoomScaleNormal="100" workbookViewId="0">
      <selection activeCell="E7" sqref="E7"/>
    </sheetView>
  </sheetViews>
  <sheetFormatPr defaultRowHeight="14.4" x14ac:dyDescent="0.3"/>
  <cols>
    <col min="1" max="4" width="8.88671875" style="1"/>
    <col min="5" max="5" width="32.77734375" style="1" customWidth="1"/>
    <col min="6" max="6" width="8.88671875" style="1"/>
    <col min="7" max="7" width="29.77734375" style="1" customWidth="1"/>
    <col min="8" max="16384" width="8.88671875" style="1"/>
  </cols>
  <sheetData>
    <row r="1" spans="1:144" s="2" customFormat="1" x14ac:dyDescent="0.3"/>
    <row r="2" spans="1:144" s="2" customFormat="1" x14ac:dyDescent="0.3"/>
    <row r="3" spans="1:144" s="2" customFormat="1" ht="27" customHeight="1" x14ac:dyDescent="0.4">
      <c r="D3" s="3"/>
      <c r="E3" s="5" t="s">
        <v>18</v>
      </c>
      <c r="F3" s="3"/>
      <c r="G3" s="3"/>
      <c r="H3" s="3"/>
    </row>
    <row r="4" spans="1:144" s="4" customFormat="1" ht="16.8" x14ac:dyDescent="0.4">
      <c r="A4" s="2"/>
      <c r="B4" s="2"/>
      <c r="C4" s="2"/>
      <c r="D4" s="3"/>
      <c r="E4" s="5" t="s">
        <v>24</v>
      </c>
      <c r="F4" s="3"/>
      <c r="G4" s="3"/>
      <c r="H4" s="3"/>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row>
    <row r="5" spans="1:144" s="4" customFormat="1" x14ac:dyDescent="0.3">
      <c r="D5" s="3"/>
      <c r="E5" s="3"/>
      <c r="F5" s="3"/>
      <c r="G5" s="3"/>
      <c r="H5" s="3"/>
    </row>
    <row r="6" spans="1:144" s="4" customFormat="1" ht="16.2" x14ac:dyDescent="0.4">
      <c r="D6" s="3"/>
      <c r="E6" s="8" t="s">
        <v>22</v>
      </c>
      <c r="F6" s="3"/>
      <c r="G6" s="8" t="s">
        <v>21</v>
      </c>
      <c r="H6" s="3"/>
    </row>
    <row r="7" spans="1:144" s="7" customFormat="1" ht="22.05" customHeight="1" x14ac:dyDescent="0.3">
      <c r="D7" s="6"/>
      <c r="E7" s="32" t="s">
        <v>52</v>
      </c>
      <c r="F7" s="6"/>
      <c r="G7" s="32" t="s">
        <v>58</v>
      </c>
      <c r="H7" s="6"/>
    </row>
    <row r="8" spans="1:144" s="4" customFormat="1" x14ac:dyDescent="0.3">
      <c r="D8" s="3"/>
      <c r="E8" s="3"/>
      <c r="F8" s="3"/>
      <c r="G8" s="3"/>
      <c r="H8" s="3"/>
    </row>
    <row r="9" spans="1:144" s="4" customFormat="1" ht="16.2" x14ac:dyDescent="0.4">
      <c r="D9" s="3"/>
      <c r="E9" s="8" t="s">
        <v>53</v>
      </c>
      <c r="F9" s="3"/>
      <c r="G9" s="8" t="s">
        <v>25</v>
      </c>
      <c r="H9" s="3"/>
    </row>
    <row r="10" spans="1:144" s="7" customFormat="1" ht="22.05" customHeight="1" x14ac:dyDescent="0.3">
      <c r="D10" s="6"/>
      <c r="E10" s="32" t="s">
        <v>29</v>
      </c>
      <c r="F10" s="6"/>
      <c r="G10" s="32" t="s">
        <v>17</v>
      </c>
      <c r="H10" s="6"/>
    </row>
    <row r="11" spans="1:144" s="4" customFormat="1" x14ac:dyDescent="0.3">
      <c r="D11" s="3"/>
      <c r="E11" s="3"/>
      <c r="F11" s="3"/>
      <c r="G11" s="3"/>
      <c r="H11" s="3"/>
    </row>
    <row r="12" spans="1:144" s="4" customFormat="1" ht="16.2" x14ac:dyDescent="0.4">
      <c r="D12" s="3"/>
      <c r="E12" s="8" t="s">
        <v>26</v>
      </c>
      <c r="F12" s="3"/>
      <c r="G12" s="8" t="s">
        <v>20</v>
      </c>
      <c r="H12" s="3"/>
    </row>
    <row r="13" spans="1:144" s="7" customFormat="1" ht="22.05" customHeight="1" x14ac:dyDescent="0.3">
      <c r="D13" s="6"/>
      <c r="E13" s="32" t="s">
        <v>46</v>
      </c>
      <c r="F13" s="6"/>
      <c r="G13" s="60" t="s">
        <v>27</v>
      </c>
      <c r="H13" s="6"/>
    </row>
    <row r="14" spans="1:144" s="7" customFormat="1" ht="22.05" customHeight="1" x14ac:dyDescent="0.3">
      <c r="D14" s="6"/>
      <c r="E14" s="6"/>
      <c r="F14" s="6"/>
      <c r="G14" s="60"/>
      <c r="H14" s="6"/>
    </row>
    <row r="15" spans="1:144" s="4" customFormat="1" x14ac:dyDescent="0.3">
      <c r="D15" s="3"/>
      <c r="E15" s="3"/>
      <c r="F15" s="3"/>
      <c r="G15" s="3"/>
      <c r="H15" s="3"/>
    </row>
    <row r="16" spans="1:144" s="4" customFormat="1" x14ac:dyDescent="0.3">
      <c r="D16" s="3"/>
      <c r="E16" s="3"/>
      <c r="F16" s="3"/>
      <c r="G16" s="3"/>
      <c r="H16" s="3"/>
    </row>
    <row r="17" spans="4:8" s="4" customFormat="1" x14ac:dyDescent="0.3">
      <c r="D17" s="1"/>
      <c r="E17" s="1"/>
      <c r="F17" s="1"/>
      <c r="G17" s="1"/>
      <c r="H17" s="1"/>
    </row>
    <row r="18" spans="4:8" s="4" customFormat="1" x14ac:dyDescent="0.3">
      <c r="D18" s="1"/>
      <c r="E18" s="1"/>
      <c r="F18" s="1"/>
      <c r="G18" s="1"/>
      <c r="H18" s="1"/>
    </row>
    <row r="19" spans="4:8" s="4" customFormat="1" x14ac:dyDescent="0.3"/>
    <row r="20" spans="4:8" s="4" customFormat="1" x14ac:dyDescent="0.3"/>
    <row r="21" spans="4:8" s="4" customFormat="1" x14ac:dyDescent="0.3"/>
    <row r="22" spans="4:8" s="4" customFormat="1" x14ac:dyDescent="0.3"/>
    <row r="23" spans="4:8" s="4" customFormat="1" x14ac:dyDescent="0.3"/>
    <row r="24" spans="4:8" s="4" customFormat="1" x14ac:dyDescent="0.3"/>
  </sheetData>
  <sheetProtection sheet="1" objects="1" scenarios="1" selectLockedCells="1"/>
  <mergeCells count="1">
    <mergeCell ref="G13:G14"/>
  </mergeCells>
  <phoneticPr fontId="1" type="noConversion"/>
  <dataValidations count="4">
    <dataValidation showInputMessage="1" showErrorMessage="1" sqref="G13" xr:uid="{685E1B7F-F97C-4588-82AF-F2961445DD0B}"/>
    <dataValidation type="list" allowBlank="1" showInputMessage="1" showErrorMessage="1" sqref="G10" xr:uid="{7E4865FF-9310-4A48-A336-F9B2E6EF8A59}">
      <formula1>"Mecanique,Electric"</formula1>
    </dataValidation>
    <dataValidation type="list" allowBlank="1" showInputMessage="1" showErrorMessage="1" sqref="E10" xr:uid="{83A22C23-FD04-41B0-B38B-76F9B47707E7}">
      <formula1>"VERRE,PET1,PET2,PET3,PET4,Canette"</formula1>
    </dataValidation>
    <dataValidation type="list" allowBlank="1" showInputMessage="1" showErrorMessage="1" sqref="E13" xr:uid="{55ECD338-FC04-4B7C-B1C7-0FABD6B49DED}">
      <formula1>"Quotidien,Hebdomadaire,Mensuel,Trimestriel,Semi-Annual,Annual,Biennial"</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4D0EA-97A4-4831-96E2-1A56BC4C2D84}">
  <sheetPr codeName="Sheet8">
    <tabColor rgb="FF00B050"/>
  </sheetPr>
  <dimension ref="A1:CKK20"/>
  <sheetViews>
    <sheetView zoomScaleNormal="100" workbookViewId="0">
      <selection activeCell="A14" sqref="A14:XFD14"/>
    </sheetView>
  </sheetViews>
  <sheetFormatPr defaultRowHeight="14.4" x14ac:dyDescent="0.3"/>
  <cols>
    <col min="1" max="3" width="8.88671875" style="1"/>
    <col min="4" max="4" width="32" style="1" bestFit="1" customWidth="1"/>
    <col min="5" max="5" width="17.109375" style="1" customWidth="1"/>
    <col min="6" max="6" width="18.109375" style="18" bestFit="1" customWidth="1"/>
    <col min="7" max="7" width="34.88671875" style="14" customWidth="1"/>
    <col min="8" max="8" width="14.44140625" style="1" customWidth="1"/>
    <col min="9" max="9" width="13.109375" style="1" customWidth="1"/>
    <col min="10" max="10" width="9.44140625" style="1" customWidth="1"/>
    <col min="11" max="16384" width="8.88671875" style="1"/>
  </cols>
  <sheetData>
    <row r="1" spans="1:2325" s="2" customFormat="1" x14ac:dyDescent="0.3">
      <c r="F1" s="17"/>
      <c r="G1" s="11"/>
    </row>
    <row r="2" spans="1:2325" s="2" customFormat="1" x14ac:dyDescent="0.3">
      <c r="F2" s="17"/>
      <c r="G2" s="11"/>
    </row>
    <row r="3" spans="1:2325" s="2" customFormat="1" ht="27" customHeight="1" x14ac:dyDescent="0.3">
      <c r="D3" s="58" t="s">
        <v>55</v>
      </c>
      <c r="E3" s="58"/>
      <c r="F3" s="58"/>
      <c r="G3" s="58"/>
    </row>
    <row r="4" spans="1:2325" s="4" customFormat="1" ht="16.8" customHeight="1" x14ac:dyDescent="0.3">
      <c r="A4" s="2"/>
      <c r="B4" s="2"/>
      <c r="C4" s="2"/>
      <c r="D4" s="58"/>
      <c r="E4" s="58"/>
      <c r="F4" s="58"/>
      <c r="G4" s="58"/>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row>
    <row r="5" spans="1:2325" s="4" customFormat="1" ht="21.6" x14ac:dyDescent="0.3">
      <c r="D5" s="10" t="s">
        <v>30</v>
      </c>
      <c r="E5" s="10" t="s">
        <v>31</v>
      </c>
      <c r="F5" s="15" t="s">
        <v>32</v>
      </c>
      <c r="G5" s="12" t="s">
        <v>25</v>
      </c>
      <c r="AJ5" s="23" t="s">
        <v>41</v>
      </c>
      <c r="AK5" s="9">
        <f>COUNTIF(tasksta[Type],AJ5)</f>
        <v>12</v>
      </c>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c r="AMK5" s="9"/>
      <c r="AML5" s="9"/>
      <c r="AMM5" s="9"/>
      <c r="AMN5" s="9"/>
      <c r="AMO5" s="9"/>
      <c r="AMP5" s="9"/>
      <c r="AMQ5" s="9"/>
      <c r="AMR5" s="9"/>
      <c r="AMS5" s="9"/>
      <c r="AMT5" s="9"/>
      <c r="AMU5" s="9"/>
      <c r="AMV5" s="9"/>
      <c r="AMW5" s="9"/>
      <c r="AMX5" s="9"/>
      <c r="AMY5" s="9"/>
      <c r="AMZ5" s="9"/>
      <c r="ANA5" s="9"/>
      <c r="ANB5" s="9"/>
      <c r="ANC5" s="9"/>
      <c r="AND5" s="9"/>
      <c r="ANE5" s="9"/>
      <c r="ANF5" s="9"/>
      <c r="ANG5" s="9"/>
      <c r="ANH5" s="9"/>
      <c r="ANI5" s="9"/>
      <c r="ANJ5" s="9"/>
      <c r="ANK5" s="9"/>
      <c r="ANL5" s="9"/>
      <c r="ANM5" s="9"/>
      <c r="ANN5" s="9"/>
      <c r="ANO5" s="9"/>
      <c r="ANP5" s="9"/>
      <c r="ANQ5" s="9"/>
      <c r="ANR5" s="9"/>
      <c r="ANS5" s="9"/>
      <c r="ANT5" s="9"/>
      <c r="ANU5" s="9"/>
      <c r="ANV5" s="9"/>
      <c r="ANW5" s="9"/>
      <c r="ANX5" s="9"/>
      <c r="ANY5" s="9"/>
      <c r="ANZ5" s="9"/>
      <c r="AOA5" s="9"/>
      <c r="AOB5" s="9"/>
      <c r="AOC5" s="9"/>
      <c r="AOD5" s="9"/>
      <c r="AOE5" s="9"/>
      <c r="AOF5" s="9"/>
      <c r="AOG5" s="9"/>
      <c r="AOH5" s="9"/>
      <c r="AOI5" s="9"/>
      <c r="AOJ5" s="9"/>
      <c r="AOK5" s="9"/>
      <c r="AOL5" s="9"/>
      <c r="AOM5" s="9"/>
      <c r="AON5" s="9"/>
      <c r="AOO5" s="9"/>
      <c r="AOP5" s="9"/>
      <c r="AOQ5" s="9"/>
      <c r="AOR5" s="9"/>
      <c r="AOS5" s="9"/>
      <c r="AOT5" s="9"/>
      <c r="AOU5" s="9"/>
      <c r="AOV5" s="9"/>
      <c r="AOW5" s="9"/>
      <c r="AOX5" s="9"/>
      <c r="AOY5" s="9"/>
      <c r="AOZ5" s="9"/>
      <c r="APA5" s="9"/>
      <c r="APB5" s="9"/>
      <c r="APC5" s="9"/>
      <c r="APD5" s="9"/>
      <c r="APE5" s="9"/>
      <c r="APF5" s="9"/>
      <c r="APG5" s="9"/>
      <c r="APH5" s="9"/>
      <c r="API5" s="9"/>
      <c r="APJ5" s="9"/>
      <c r="APK5" s="9"/>
      <c r="APL5" s="9"/>
      <c r="APM5" s="9"/>
      <c r="APN5" s="9"/>
      <c r="APO5" s="9"/>
      <c r="APP5" s="9"/>
      <c r="APQ5" s="9"/>
      <c r="APR5" s="9"/>
      <c r="APS5" s="9"/>
      <c r="APT5" s="9"/>
      <c r="APU5" s="9"/>
      <c r="APV5" s="9"/>
      <c r="APW5" s="9"/>
      <c r="APX5" s="9"/>
      <c r="APY5" s="9"/>
      <c r="APZ5" s="9"/>
      <c r="AQA5" s="9"/>
      <c r="AQB5" s="9"/>
      <c r="AQC5" s="9"/>
      <c r="AQD5" s="9"/>
      <c r="AQE5" s="9"/>
      <c r="AQF5" s="9"/>
      <c r="AQG5" s="9"/>
      <c r="AQH5" s="9"/>
      <c r="AQI5" s="9"/>
      <c r="AQJ5" s="9"/>
      <c r="AQK5" s="9"/>
      <c r="AQL5" s="9"/>
      <c r="AQM5" s="9"/>
      <c r="AQN5" s="9"/>
      <c r="AQO5" s="9"/>
      <c r="AQP5" s="9"/>
      <c r="AQQ5" s="9"/>
      <c r="AQR5" s="9"/>
      <c r="AQS5" s="9"/>
      <c r="AQT5" s="9"/>
      <c r="AQU5" s="9"/>
      <c r="AQV5" s="9"/>
      <c r="AQW5" s="9"/>
      <c r="AQX5" s="9"/>
      <c r="AQY5" s="9"/>
      <c r="AQZ5" s="9"/>
      <c r="ARA5" s="9"/>
      <c r="ARB5" s="9"/>
      <c r="ARC5" s="9"/>
      <c r="ARD5" s="9"/>
      <c r="ARE5" s="9"/>
      <c r="ARF5" s="9"/>
      <c r="ARG5" s="9"/>
      <c r="ARH5" s="9"/>
      <c r="ARI5" s="9"/>
      <c r="ARJ5" s="9"/>
      <c r="ARK5" s="9"/>
      <c r="ARL5" s="9"/>
      <c r="ARM5" s="9"/>
      <c r="ARN5" s="9"/>
      <c r="ARO5" s="9"/>
      <c r="ARP5" s="9"/>
      <c r="ARQ5" s="9"/>
      <c r="ARR5" s="9"/>
      <c r="ARS5" s="9"/>
      <c r="ART5" s="9"/>
      <c r="ARU5" s="9"/>
      <c r="ARV5" s="9"/>
      <c r="ARW5" s="9"/>
      <c r="ARX5" s="9"/>
      <c r="ARY5" s="9"/>
      <c r="ARZ5" s="9"/>
      <c r="ASA5" s="9"/>
      <c r="ASB5" s="9"/>
      <c r="ASC5" s="9"/>
      <c r="ASD5" s="9"/>
      <c r="ASE5" s="9"/>
      <c r="ASF5" s="9"/>
      <c r="ASG5" s="9"/>
      <c r="ASH5" s="9"/>
      <c r="ASI5" s="9"/>
      <c r="ASJ5" s="9"/>
      <c r="ASK5" s="9"/>
      <c r="ASL5" s="9"/>
      <c r="ASM5" s="9"/>
      <c r="ASN5" s="9"/>
      <c r="ASO5" s="9"/>
      <c r="ASP5" s="9"/>
      <c r="ASQ5" s="9"/>
      <c r="ASR5" s="9"/>
      <c r="ASS5" s="9"/>
      <c r="AST5" s="9"/>
      <c r="ASU5" s="9"/>
      <c r="ASV5" s="9"/>
      <c r="ASW5" s="9"/>
      <c r="ASX5" s="9"/>
      <c r="ASY5" s="9"/>
      <c r="ASZ5" s="9"/>
      <c r="ATA5" s="9"/>
      <c r="ATB5" s="9"/>
      <c r="ATC5" s="9"/>
      <c r="ATD5" s="9"/>
      <c r="ATE5" s="9"/>
      <c r="ATF5" s="9"/>
      <c r="ATG5" s="9"/>
      <c r="ATH5" s="9"/>
      <c r="ATI5" s="9"/>
      <c r="ATJ5" s="9"/>
      <c r="ATK5" s="9"/>
      <c r="ATL5" s="9"/>
      <c r="ATM5" s="9"/>
      <c r="ATN5" s="9"/>
      <c r="ATO5" s="9"/>
      <c r="ATP5" s="9"/>
      <c r="ATQ5" s="9"/>
      <c r="ATR5" s="9"/>
      <c r="ATS5" s="9"/>
      <c r="ATT5" s="9"/>
      <c r="ATU5" s="9"/>
      <c r="ATV5" s="9"/>
      <c r="ATW5" s="9"/>
      <c r="ATX5" s="9"/>
      <c r="ATY5" s="9"/>
      <c r="ATZ5" s="9"/>
      <c r="AUA5" s="9"/>
      <c r="AUB5" s="9"/>
      <c r="AUC5" s="9"/>
      <c r="AUD5" s="9"/>
      <c r="AUE5" s="9"/>
      <c r="AUF5" s="9"/>
      <c r="AUG5" s="9"/>
      <c r="AUH5" s="9"/>
      <c r="AUI5" s="9"/>
      <c r="AUJ5" s="9"/>
      <c r="AUK5" s="9"/>
      <c r="AUL5" s="9"/>
      <c r="AUM5" s="9"/>
      <c r="AUN5" s="9"/>
      <c r="AUO5" s="9"/>
      <c r="AUP5" s="9"/>
      <c r="AUQ5" s="9"/>
      <c r="AUR5" s="9"/>
      <c r="AUS5" s="9"/>
      <c r="AUT5" s="9"/>
      <c r="AUU5" s="9"/>
      <c r="AUV5" s="9"/>
      <c r="AUW5" s="9"/>
      <c r="AUX5" s="9"/>
      <c r="AUY5" s="9"/>
      <c r="AUZ5" s="9"/>
      <c r="AVA5" s="9"/>
      <c r="AVB5" s="9"/>
      <c r="AVC5" s="9"/>
      <c r="AVD5" s="9"/>
      <c r="AVE5" s="9"/>
      <c r="AVF5" s="9"/>
      <c r="AVG5" s="9"/>
      <c r="AVH5" s="9"/>
      <c r="AVI5" s="9"/>
      <c r="AVJ5" s="9"/>
      <c r="AVK5" s="9"/>
      <c r="AVL5" s="9"/>
      <c r="AVM5" s="9"/>
      <c r="AVN5" s="9"/>
      <c r="AVO5" s="9"/>
      <c r="AVP5" s="9"/>
      <c r="AVQ5" s="9"/>
      <c r="AVR5" s="9"/>
      <c r="AVS5" s="9"/>
      <c r="AVT5" s="9"/>
      <c r="AVU5" s="9"/>
      <c r="AVV5" s="9"/>
      <c r="AVW5" s="9"/>
      <c r="AVX5" s="9"/>
      <c r="AVY5" s="9"/>
      <c r="AVZ5" s="9"/>
      <c r="AWA5" s="9"/>
      <c r="AWB5" s="9"/>
      <c r="AWC5" s="9"/>
      <c r="AWD5" s="9"/>
      <c r="AWE5" s="9"/>
      <c r="AWF5" s="9"/>
      <c r="AWG5" s="9"/>
      <c r="AWH5" s="9"/>
      <c r="AWI5" s="9"/>
      <c r="AWJ5" s="9"/>
      <c r="AWK5" s="9"/>
      <c r="AWL5" s="9"/>
      <c r="AWM5" s="9"/>
      <c r="AWN5" s="9"/>
      <c r="AWO5" s="9"/>
      <c r="AWP5" s="9"/>
      <c r="AWQ5" s="9"/>
      <c r="AWR5" s="9"/>
      <c r="AWS5" s="9"/>
      <c r="AWT5" s="9"/>
      <c r="AWU5" s="9"/>
      <c r="AWV5" s="9"/>
      <c r="AWW5" s="9"/>
      <c r="AWX5" s="9"/>
      <c r="AWY5" s="9"/>
      <c r="AWZ5" s="9"/>
      <c r="AXA5" s="9"/>
      <c r="AXB5" s="9"/>
      <c r="AXC5" s="9"/>
      <c r="AXD5" s="9"/>
      <c r="AXE5" s="9"/>
      <c r="AXF5" s="9"/>
      <c r="AXG5" s="9"/>
      <c r="AXH5" s="9"/>
      <c r="AXI5" s="9"/>
      <c r="AXJ5" s="9"/>
      <c r="AXK5" s="9"/>
      <c r="AXL5" s="9"/>
      <c r="AXM5" s="9"/>
      <c r="AXN5" s="9"/>
      <c r="AXO5" s="9"/>
      <c r="AXP5" s="9"/>
      <c r="AXQ5" s="9"/>
      <c r="AXR5" s="9"/>
      <c r="AXS5" s="9"/>
      <c r="AXT5" s="9"/>
      <c r="AXU5" s="9"/>
      <c r="AXV5" s="9"/>
      <c r="AXW5" s="9"/>
      <c r="AXX5" s="9"/>
      <c r="AXY5" s="9"/>
      <c r="AXZ5" s="9"/>
      <c r="AYA5" s="9"/>
      <c r="AYB5" s="9"/>
      <c r="AYC5" s="9"/>
      <c r="AYD5" s="9"/>
      <c r="AYE5" s="9"/>
      <c r="AYF5" s="9"/>
      <c r="AYG5" s="9"/>
      <c r="AYH5" s="9"/>
      <c r="AYI5" s="9"/>
      <c r="AYJ5" s="9"/>
      <c r="AYK5" s="9"/>
      <c r="AYL5" s="9"/>
      <c r="AYM5" s="9"/>
      <c r="AYN5" s="9"/>
      <c r="AYO5" s="9"/>
      <c r="AYP5" s="9"/>
      <c r="AYQ5" s="9"/>
      <c r="AYR5" s="9"/>
      <c r="AYS5" s="9"/>
      <c r="AYT5" s="9"/>
      <c r="AYU5" s="9"/>
      <c r="AYV5" s="9"/>
      <c r="AYW5" s="9"/>
      <c r="AYX5" s="9"/>
      <c r="AYY5" s="9"/>
      <c r="AYZ5" s="9"/>
      <c r="AZA5" s="9"/>
      <c r="AZB5" s="9"/>
      <c r="AZC5" s="9"/>
      <c r="AZD5" s="9"/>
      <c r="AZE5" s="9"/>
      <c r="AZF5" s="9"/>
      <c r="AZG5" s="9"/>
      <c r="AZH5" s="9"/>
      <c r="AZI5" s="9"/>
      <c r="AZJ5" s="9"/>
      <c r="AZK5" s="9"/>
      <c r="AZL5" s="9"/>
      <c r="AZM5" s="9"/>
      <c r="AZN5" s="9"/>
      <c r="AZO5" s="9"/>
      <c r="AZP5" s="9"/>
      <c r="AZQ5" s="9"/>
      <c r="AZR5" s="9"/>
      <c r="AZS5" s="9"/>
      <c r="AZT5" s="9"/>
      <c r="AZU5" s="9"/>
      <c r="AZV5" s="9"/>
      <c r="AZW5" s="9"/>
      <c r="AZX5" s="9"/>
      <c r="AZY5" s="9"/>
      <c r="AZZ5" s="9"/>
      <c r="BAA5" s="9"/>
      <c r="BAB5" s="9"/>
      <c r="BAC5" s="9"/>
      <c r="BAD5" s="9"/>
      <c r="BAE5" s="9"/>
      <c r="BAF5" s="9"/>
      <c r="BAG5" s="9"/>
      <c r="BAH5" s="9"/>
      <c r="BAI5" s="9"/>
      <c r="BAJ5" s="9"/>
      <c r="BAK5" s="9"/>
      <c r="BAL5" s="9"/>
      <c r="BAM5" s="9"/>
      <c r="BAN5" s="9"/>
      <c r="BAO5" s="9"/>
      <c r="BAP5" s="9"/>
      <c r="BAQ5" s="9"/>
      <c r="BAR5" s="9"/>
      <c r="BAS5" s="9"/>
      <c r="BAT5" s="9"/>
      <c r="BAU5" s="9"/>
      <c r="BAV5" s="9"/>
      <c r="BAW5" s="9"/>
      <c r="BAX5" s="9"/>
      <c r="BAY5" s="9"/>
      <c r="BAZ5" s="9"/>
      <c r="BBA5" s="9"/>
      <c r="BBB5" s="9"/>
      <c r="BBC5" s="9"/>
      <c r="BBD5" s="9"/>
      <c r="BBE5" s="9"/>
      <c r="BBF5" s="9"/>
      <c r="BBG5" s="9"/>
      <c r="BBH5" s="9"/>
      <c r="BBI5" s="9"/>
      <c r="BBJ5" s="9"/>
      <c r="BBK5" s="9"/>
      <c r="BBL5" s="9"/>
      <c r="BBM5" s="9"/>
      <c r="BBN5" s="9"/>
      <c r="BBO5" s="9"/>
      <c r="BBP5" s="9"/>
      <c r="BBQ5" s="9"/>
      <c r="BBR5" s="9"/>
      <c r="BBS5" s="9"/>
      <c r="BBT5" s="9"/>
      <c r="BBU5" s="9"/>
      <c r="BBV5" s="9"/>
      <c r="BBW5" s="9"/>
      <c r="BBX5" s="9"/>
      <c r="BBY5" s="9"/>
      <c r="BBZ5" s="9"/>
      <c r="BCA5" s="9"/>
      <c r="BCB5" s="9"/>
      <c r="BCC5" s="9"/>
      <c r="BCD5" s="9"/>
      <c r="BCE5" s="9"/>
      <c r="BCF5" s="9"/>
      <c r="BCG5" s="9"/>
      <c r="BCH5" s="9"/>
      <c r="BCI5" s="9"/>
      <c r="BCJ5" s="9"/>
      <c r="BCK5" s="9"/>
      <c r="BCL5" s="9"/>
      <c r="BCM5" s="9"/>
      <c r="BCN5" s="9"/>
      <c r="BCO5" s="9"/>
      <c r="BCP5" s="9"/>
      <c r="BCQ5" s="9"/>
      <c r="BCR5" s="9"/>
      <c r="BCS5" s="9"/>
      <c r="BCT5" s="9"/>
      <c r="BCU5" s="9"/>
      <c r="BCV5" s="9"/>
      <c r="BCW5" s="9"/>
      <c r="BCX5" s="9"/>
      <c r="BCY5" s="9"/>
      <c r="BCZ5" s="9"/>
      <c r="BDA5" s="9"/>
      <c r="BDB5" s="9"/>
      <c r="BDC5" s="9"/>
      <c r="BDD5" s="9"/>
      <c r="BDE5" s="9"/>
      <c r="BDF5" s="9"/>
      <c r="BDG5" s="9"/>
      <c r="BDH5" s="9"/>
      <c r="BDI5" s="9"/>
      <c r="BDJ5" s="9"/>
      <c r="BDK5" s="9"/>
      <c r="BDL5" s="9"/>
      <c r="BDM5" s="9"/>
      <c r="BDN5" s="9"/>
      <c r="BDO5" s="9"/>
      <c r="BDP5" s="9"/>
      <c r="BDQ5" s="9"/>
      <c r="BDR5" s="9"/>
      <c r="BDS5" s="9"/>
      <c r="BDT5" s="9"/>
      <c r="BDU5" s="9"/>
      <c r="BDV5" s="9"/>
      <c r="BDW5" s="9"/>
      <c r="BDX5" s="9"/>
      <c r="BDY5" s="9"/>
      <c r="BDZ5" s="9"/>
      <c r="BEA5" s="9"/>
      <c r="BEB5" s="9"/>
      <c r="BEC5" s="9"/>
      <c r="BED5" s="9"/>
      <c r="BEE5" s="9"/>
      <c r="BEF5" s="9"/>
      <c r="BEG5" s="9"/>
      <c r="BEH5" s="9"/>
      <c r="BEI5" s="9"/>
      <c r="BEJ5" s="9"/>
      <c r="BEK5" s="9"/>
      <c r="BEL5" s="9"/>
      <c r="BEM5" s="9"/>
      <c r="BEN5" s="9"/>
      <c r="BEO5" s="9"/>
      <c r="BEP5" s="9"/>
      <c r="BEQ5" s="9"/>
      <c r="BER5" s="9"/>
      <c r="BES5" s="9"/>
      <c r="BET5" s="9"/>
      <c r="BEU5" s="9"/>
      <c r="BEV5" s="9"/>
      <c r="BEW5" s="9"/>
      <c r="BEX5" s="9"/>
      <c r="BEY5" s="9"/>
      <c r="BEZ5" s="9"/>
      <c r="BFA5" s="9"/>
      <c r="BFB5" s="9"/>
      <c r="BFC5" s="9"/>
      <c r="BFD5" s="9"/>
      <c r="BFE5" s="9"/>
      <c r="BFF5" s="9"/>
      <c r="BFG5" s="9"/>
      <c r="BFH5" s="9"/>
      <c r="BFI5" s="9"/>
      <c r="BFJ5" s="9"/>
      <c r="BFK5" s="9"/>
      <c r="BFL5" s="9"/>
      <c r="BFM5" s="9"/>
      <c r="BFN5" s="9"/>
      <c r="BFO5" s="9"/>
      <c r="BFP5" s="9"/>
      <c r="BFQ5" s="9"/>
      <c r="BFR5" s="9"/>
      <c r="BFS5" s="9"/>
      <c r="BFT5" s="9"/>
      <c r="BFU5" s="9"/>
      <c r="BFV5" s="9"/>
      <c r="BFW5" s="9"/>
      <c r="BFX5" s="9"/>
      <c r="BFY5" s="9"/>
      <c r="BFZ5" s="9"/>
      <c r="BGA5" s="9"/>
      <c r="BGB5" s="9"/>
      <c r="BGC5" s="9"/>
      <c r="BGD5" s="9"/>
      <c r="BGE5" s="9"/>
      <c r="BGF5" s="9"/>
      <c r="BGG5" s="9"/>
      <c r="BGH5" s="9"/>
      <c r="BGI5" s="9"/>
      <c r="BGJ5" s="9"/>
      <c r="BGK5" s="9"/>
      <c r="BGL5" s="9"/>
      <c r="BGM5" s="9"/>
      <c r="BGN5" s="9"/>
      <c r="BGO5" s="9"/>
      <c r="BGP5" s="9"/>
      <c r="BGQ5" s="9"/>
      <c r="BGR5" s="9"/>
      <c r="BGS5" s="9"/>
      <c r="BGT5" s="9"/>
      <c r="BGU5" s="9"/>
      <c r="BGV5" s="9"/>
      <c r="BGW5" s="9"/>
      <c r="BGX5" s="9"/>
      <c r="BGY5" s="9"/>
      <c r="BGZ5" s="9"/>
      <c r="BHA5" s="9"/>
      <c r="BHB5" s="9"/>
      <c r="BHC5" s="9"/>
      <c r="BHD5" s="9"/>
      <c r="BHE5" s="9"/>
      <c r="BHF5" s="9"/>
      <c r="BHG5" s="9"/>
      <c r="BHH5" s="9"/>
      <c r="BHI5" s="9"/>
      <c r="BHJ5" s="9"/>
      <c r="BHK5" s="9"/>
      <c r="BHL5" s="9"/>
      <c r="BHM5" s="9"/>
      <c r="BHN5" s="9"/>
      <c r="BHO5" s="9"/>
      <c r="BHP5" s="9"/>
      <c r="BHQ5" s="9"/>
      <c r="BHR5" s="9"/>
      <c r="BHS5" s="9"/>
      <c r="BHT5" s="9"/>
      <c r="BHU5" s="9"/>
      <c r="BHV5" s="9"/>
      <c r="BHW5" s="9"/>
      <c r="BHX5" s="9"/>
      <c r="BHY5" s="9"/>
      <c r="BHZ5" s="9"/>
      <c r="BIA5" s="9"/>
      <c r="BIB5" s="9"/>
      <c r="BIC5" s="9"/>
      <c r="BID5" s="9"/>
      <c r="BIE5" s="9"/>
      <c r="BIF5" s="9"/>
      <c r="BIG5" s="9"/>
      <c r="BIH5" s="9"/>
      <c r="BII5" s="9"/>
      <c r="BIJ5" s="9"/>
      <c r="BIK5" s="9"/>
      <c r="BIL5" s="9"/>
      <c r="BIM5" s="9"/>
      <c r="BIN5" s="9"/>
      <c r="BIO5" s="9"/>
      <c r="BIP5" s="9"/>
      <c r="BIQ5" s="9"/>
      <c r="BIR5" s="9"/>
      <c r="BIS5" s="9"/>
      <c r="BIT5" s="9"/>
      <c r="BIU5" s="9"/>
      <c r="BIV5" s="9"/>
      <c r="BIW5" s="9"/>
      <c r="BIX5" s="9"/>
      <c r="BIY5" s="9"/>
      <c r="BIZ5" s="9"/>
      <c r="BJA5" s="9"/>
      <c r="BJB5" s="9"/>
      <c r="BJC5" s="9"/>
      <c r="BJD5" s="9"/>
      <c r="BJE5" s="9"/>
      <c r="BJF5" s="9"/>
      <c r="BJG5" s="9"/>
      <c r="BJH5" s="9"/>
      <c r="BJI5" s="9"/>
      <c r="BJJ5" s="9"/>
      <c r="BJK5" s="9"/>
      <c r="BJL5" s="9"/>
      <c r="BJM5" s="9"/>
      <c r="BJN5" s="9"/>
      <c r="BJO5" s="9"/>
      <c r="BJP5" s="9"/>
      <c r="BJQ5" s="9"/>
      <c r="BJR5" s="9"/>
      <c r="BJS5" s="9"/>
      <c r="BJT5" s="9"/>
      <c r="BJU5" s="9"/>
      <c r="BJV5" s="9"/>
      <c r="BJW5" s="9"/>
      <c r="BJX5" s="9"/>
      <c r="BJY5" s="9"/>
      <c r="BJZ5" s="9"/>
      <c r="BKA5" s="9"/>
      <c r="BKB5" s="9"/>
      <c r="BKC5" s="9"/>
      <c r="BKD5" s="9"/>
      <c r="BKE5" s="9"/>
      <c r="BKF5" s="9"/>
      <c r="BKG5" s="9"/>
      <c r="BKH5" s="9"/>
      <c r="BKI5" s="9"/>
      <c r="BKJ5" s="9"/>
      <c r="BKK5" s="9"/>
      <c r="BKL5" s="9"/>
      <c r="BKM5" s="9"/>
      <c r="BKN5" s="9"/>
      <c r="BKO5" s="9"/>
      <c r="BKP5" s="9"/>
      <c r="BKQ5" s="9"/>
      <c r="BKR5" s="9"/>
      <c r="BKS5" s="9"/>
      <c r="BKT5" s="9"/>
      <c r="BKU5" s="9"/>
      <c r="BKV5" s="9"/>
      <c r="BKW5" s="9"/>
      <c r="BKX5" s="9"/>
      <c r="BKY5" s="9"/>
      <c r="BKZ5" s="9"/>
      <c r="BLA5" s="9"/>
      <c r="BLB5" s="9"/>
      <c r="BLC5" s="9"/>
      <c r="BLD5" s="9"/>
      <c r="BLE5" s="9"/>
      <c r="BLF5" s="9"/>
      <c r="BLG5" s="9"/>
      <c r="BLH5" s="9"/>
      <c r="BLI5" s="9"/>
      <c r="BLJ5" s="9"/>
      <c r="BLK5" s="9"/>
      <c r="BLL5" s="9"/>
      <c r="BLM5" s="9"/>
      <c r="BLN5" s="9"/>
      <c r="BLO5" s="9"/>
      <c r="BLP5" s="9"/>
      <c r="BLQ5" s="9"/>
      <c r="BLR5" s="9"/>
      <c r="BLS5" s="9"/>
      <c r="BLT5" s="9"/>
      <c r="BLU5" s="9"/>
      <c r="BLV5" s="9"/>
      <c r="BLW5" s="9"/>
      <c r="BLX5" s="9"/>
      <c r="BLY5" s="9"/>
      <c r="BLZ5" s="9"/>
      <c r="BMA5" s="9"/>
      <c r="BMB5" s="9"/>
      <c r="BMC5" s="9"/>
      <c r="BMD5" s="9"/>
      <c r="BME5" s="9"/>
      <c r="BMF5" s="9"/>
      <c r="BMG5" s="9"/>
      <c r="BMH5" s="9"/>
      <c r="BMI5" s="9"/>
      <c r="BMJ5" s="9"/>
      <c r="BMK5" s="9"/>
      <c r="BML5" s="9"/>
      <c r="BMM5" s="9"/>
      <c r="BMN5" s="9"/>
      <c r="BMO5" s="9"/>
      <c r="BMP5" s="9"/>
      <c r="BMQ5" s="9"/>
      <c r="BMR5" s="9"/>
      <c r="BMS5" s="9"/>
      <c r="BMT5" s="9"/>
      <c r="BMU5" s="9"/>
      <c r="BMV5" s="9"/>
      <c r="BMW5" s="9"/>
      <c r="BMX5" s="9"/>
      <c r="BMY5" s="9"/>
      <c r="BMZ5" s="9"/>
      <c r="BNA5" s="9"/>
      <c r="BNB5" s="9"/>
      <c r="BNC5" s="9"/>
      <c r="BND5" s="9"/>
      <c r="BNE5" s="9"/>
      <c r="BNF5" s="9"/>
      <c r="BNG5" s="9"/>
      <c r="BNH5" s="9"/>
      <c r="BNI5" s="9"/>
      <c r="BNJ5" s="9"/>
      <c r="BNK5" s="9"/>
      <c r="BNL5" s="9"/>
      <c r="BNM5" s="9"/>
      <c r="BNN5" s="9"/>
      <c r="BNO5" s="9"/>
      <c r="BNP5" s="9"/>
      <c r="BNQ5" s="9"/>
      <c r="BNR5" s="9"/>
      <c r="BNS5" s="9"/>
      <c r="BNT5" s="9"/>
      <c r="BNU5" s="9"/>
      <c r="BNV5" s="9"/>
      <c r="BNW5" s="9"/>
      <c r="BNX5" s="9"/>
      <c r="BNY5" s="9"/>
      <c r="BNZ5" s="9"/>
      <c r="BOA5" s="9"/>
      <c r="BOB5" s="9"/>
      <c r="BOC5" s="9"/>
      <c r="BOD5" s="9"/>
      <c r="BOE5" s="9"/>
      <c r="BOF5" s="9"/>
      <c r="BOG5" s="9"/>
      <c r="BOH5" s="9"/>
      <c r="BOI5" s="9"/>
      <c r="BOJ5" s="9"/>
      <c r="BOK5" s="9"/>
      <c r="BOL5" s="9"/>
      <c r="BOM5" s="9"/>
      <c r="BON5" s="9"/>
      <c r="BOO5" s="9"/>
      <c r="BOP5" s="9"/>
      <c r="BOQ5" s="9"/>
      <c r="BOR5" s="9"/>
      <c r="BOS5" s="9"/>
      <c r="BOT5" s="9"/>
      <c r="BOU5" s="9"/>
      <c r="BOV5" s="9"/>
      <c r="BOW5" s="9"/>
      <c r="BOX5" s="9"/>
      <c r="BOY5" s="9"/>
      <c r="BOZ5" s="9"/>
      <c r="BPA5" s="9"/>
      <c r="BPB5" s="9"/>
      <c r="BPC5" s="9"/>
      <c r="BPD5" s="9"/>
      <c r="BPE5" s="9"/>
      <c r="BPF5" s="9"/>
      <c r="BPG5" s="9"/>
      <c r="BPH5" s="9"/>
      <c r="BPI5" s="9"/>
      <c r="BPJ5" s="9"/>
      <c r="BPK5" s="9"/>
      <c r="BPL5" s="9"/>
      <c r="BPM5" s="9"/>
      <c r="BPN5" s="9"/>
      <c r="BPO5" s="9"/>
      <c r="BPP5" s="9"/>
      <c r="BPQ5" s="9"/>
      <c r="BPR5" s="9"/>
      <c r="BPS5" s="9"/>
      <c r="BPT5" s="9"/>
      <c r="BPU5" s="9"/>
      <c r="BPV5" s="9"/>
      <c r="BPW5" s="9"/>
      <c r="BPX5" s="9"/>
      <c r="BPY5" s="9"/>
      <c r="BPZ5" s="9"/>
      <c r="BQA5" s="9"/>
      <c r="BQB5" s="9"/>
      <c r="BQC5" s="9"/>
      <c r="BQD5" s="9"/>
      <c r="BQE5" s="9"/>
      <c r="BQF5" s="9"/>
      <c r="BQG5" s="9"/>
      <c r="BQH5" s="9"/>
      <c r="BQI5" s="9"/>
      <c r="BQJ5" s="9"/>
      <c r="BQK5" s="9"/>
      <c r="BQL5" s="9"/>
      <c r="BQM5" s="9"/>
      <c r="BQN5" s="9"/>
      <c r="BQO5" s="9"/>
      <c r="BQP5" s="9"/>
      <c r="BQQ5" s="9"/>
      <c r="BQR5" s="9"/>
      <c r="BQS5" s="9"/>
      <c r="BQT5" s="9"/>
      <c r="BQU5" s="9"/>
      <c r="BQV5" s="9"/>
      <c r="BQW5" s="9"/>
      <c r="BQX5" s="9"/>
      <c r="BQY5" s="9"/>
      <c r="BQZ5" s="9"/>
      <c r="BRA5" s="9"/>
      <c r="BRB5" s="9"/>
      <c r="BRC5" s="9"/>
      <c r="BRD5" s="9"/>
      <c r="BRE5" s="9"/>
      <c r="BRF5" s="9"/>
      <c r="BRG5" s="9"/>
      <c r="BRH5" s="9"/>
      <c r="BRI5" s="9"/>
      <c r="BRJ5" s="9"/>
      <c r="BRK5" s="9"/>
      <c r="BRL5" s="9"/>
      <c r="BRM5" s="9"/>
      <c r="BRN5" s="9"/>
      <c r="BRO5" s="9"/>
      <c r="BRP5" s="9"/>
      <c r="BRQ5" s="9"/>
      <c r="BRR5" s="9"/>
      <c r="BRS5" s="9"/>
      <c r="BRT5" s="9"/>
      <c r="BRU5" s="9"/>
      <c r="BRV5" s="9"/>
      <c r="BRW5" s="9"/>
      <c r="BRX5" s="9"/>
      <c r="BRY5" s="9"/>
      <c r="BRZ5" s="9"/>
      <c r="BSA5" s="9"/>
      <c r="BSB5" s="9"/>
      <c r="BSC5" s="9"/>
      <c r="BSD5" s="9"/>
      <c r="BSE5" s="9"/>
      <c r="BSF5" s="9"/>
      <c r="BSG5" s="9"/>
      <c r="BSH5" s="9"/>
      <c r="BSI5" s="9"/>
      <c r="BSJ5" s="9"/>
      <c r="BSK5" s="9"/>
      <c r="BSL5" s="9"/>
      <c r="BSM5" s="9"/>
      <c r="BSN5" s="9"/>
      <c r="BSO5" s="9"/>
      <c r="BSP5" s="9"/>
      <c r="BSQ5" s="9"/>
      <c r="BSR5" s="9"/>
      <c r="BSS5" s="9"/>
      <c r="BST5" s="9"/>
      <c r="BSU5" s="9"/>
      <c r="BSV5" s="9"/>
      <c r="BSW5" s="9"/>
      <c r="BSX5" s="9"/>
      <c r="BSY5" s="9"/>
      <c r="BSZ5" s="9"/>
      <c r="BTA5" s="9"/>
      <c r="BTB5" s="9"/>
      <c r="BTC5" s="9"/>
      <c r="BTD5" s="9"/>
      <c r="BTE5" s="9"/>
      <c r="BTF5" s="9"/>
      <c r="BTG5" s="9"/>
      <c r="BTH5" s="9"/>
      <c r="BTI5" s="9"/>
      <c r="BTJ5" s="9"/>
      <c r="BTK5" s="9"/>
      <c r="BTL5" s="9"/>
      <c r="BTM5" s="9"/>
      <c r="BTN5" s="9"/>
      <c r="BTO5" s="9"/>
      <c r="BTP5" s="9"/>
      <c r="BTQ5" s="9"/>
      <c r="BTR5" s="9"/>
      <c r="BTS5" s="9"/>
      <c r="BTT5" s="9"/>
      <c r="BTU5" s="9"/>
      <c r="BTV5" s="9"/>
      <c r="BTW5" s="9"/>
      <c r="BTX5" s="9"/>
      <c r="BTY5" s="9"/>
      <c r="BTZ5" s="9"/>
      <c r="BUA5" s="9"/>
      <c r="BUB5" s="9"/>
      <c r="BUC5" s="9"/>
      <c r="BUD5" s="9"/>
      <c r="BUE5" s="9"/>
      <c r="BUF5" s="9"/>
      <c r="BUG5" s="9"/>
      <c r="BUH5" s="9"/>
      <c r="BUI5" s="9"/>
      <c r="BUJ5" s="9"/>
      <c r="BUK5" s="9"/>
      <c r="BUL5" s="9"/>
      <c r="BUM5" s="9"/>
      <c r="BUN5" s="9"/>
      <c r="BUO5" s="9"/>
      <c r="BUP5" s="9"/>
      <c r="BUQ5" s="9"/>
      <c r="BUR5" s="9"/>
      <c r="BUS5" s="9"/>
      <c r="BUT5" s="9"/>
      <c r="BUU5" s="9"/>
      <c r="BUV5" s="9"/>
      <c r="BUW5" s="9"/>
      <c r="BUX5" s="9"/>
      <c r="BUY5" s="9"/>
      <c r="BUZ5" s="9"/>
      <c r="BVA5" s="9"/>
      <c r="BVB5" s="9"/>
      <c r="BVC5" s="9"/>
      <c r="BVD5" s="9"/>
      <c r="BVE5" s="9"/>
      <c r="BVF5" s="9"/>
      <c r="BVG5" s="9"/>
      <c r="BVH5" s="9"/>
      <c r="BVI5" s="9"/>
      <c r="BVJ5" s="9"/>
      <c r="BVK5" s="9"/>
      <c r="BVL5" s="9"/>
      <c r="BVM5" s="9"/>
      <c r="BVN5" s="9"/>
      <c r="BVO5" s="9"/>
      <c r="BVP5" s="9"/>
      <c r="BVQ5" s="9"/>
      <c r="BVR5" s="9"/>
      <c r="BVS5" s="9"/>
      <c r="BVT5" s="9"/>
      <c r="BVU5" s="9"/>
      <c r="BVV5" s="9"/>
      <c r="BVW5" s="9"/>
      <c r="BVX5" s="9"/>
      <c r="BVY5" s="9"/>
      <c r="BVZ5" s="9"/>
      <c r="BWA5" s="9"/>
      <c r="BWB5" s="9"/>
      <c r="BWC5" s="9"/>
      <c r="BWD5" s="9"/>
      <c r="BWE5" s="9"/>
      <c r="BWF5" s="9"/>
      <c r="BWG5" s="9"/>
      <c r="BWH5" s="9"/>
      <c r="BWI5" s="9"/>
      <c r="BWJ5" s="9"/>
      <c r="BWK5" s="9"/>
      <c r="BWL5" s="9"/>
      <c r="BWM5" s="9"/>
      <c r="BWN5" s="9"/>
      <c r="BWO5" s="9"/>
      <c r="BWP5" s="9"/>
      <c r="BWQ5" s="9"/>
      <c r="BWR5" s="9"/>
      <c r="BWS5" s="9"/>
      <c r="BWT5" s="9"/>
      <c r="BWU5" s="9"/>
      <c r="BWV5" s="9"/>
      <c r="BWW5" s="9"/>
      <c r="BWX5" s="9"/>
      <c r="BWY5" s="9"/>
      <c r="BWZ5" s="9"/>
      <c r="BXA5" s="9"/>
      <c r="BXB5" s="9"/>
      <c r="BXC5" s="9"/>
      <c r="BXD5" s="9"/>
      <c r="BXE5" s="9"/>
      <c r="BXF5" s="9"/>
      <c r="BXG5" s="9"/>
      <c r="BXH5" s="9"/>
      <c r="BXI5" s="9"/>
      <c r="BXJ5" s="9"/>
      <c r="BXK5" s="9"/>
      <c r="BXL5" s="9"/>
      <c r="BXM5" s="9"/>
      <c r="BXN5" s="9"/>
      <c r="BXO5" s="9"/>
      <c r="BXP5" s="9"/>
      <c r="BXQ5" s="9"/>
      <c r="BXR5" s="9"/>
      <c r="BXS5" s="9"/>
      <c r="BXT5" s="9"/>
      <c r="BXU5" s="9"/>
      <c r="BXV5" s="9"/>
      <c r="BXW5" s="9"/>
      <c r="BXX5" s="9"/>
      <c r="BXY5" s="9"/>
      <c r="BXZ5" s="9"/>
      <c r="BYA5" s="9"/>
      <c r="BYB5" s="9"/>
      <c r="BYC5" s="9"/>
      <c r="BYD5" s="9"/>
      <c r="BYE5" s="9"/>
      <c r="BYF5" s="9"/>
      <c r="BYG5" s="9"/>
      <c r="BYH5" s="9"/>
      <c r="BYI5" s="9"/>
      <c r="BYJ5" s="9"/>
      <c r="BYK5" s="9"/>
      <c r="BYL5" s="9"/>
      <c r="BYM5" s="9"/>
      <c r="BYN5" s="9"/>
      <c r="BYO5" s="9"/>
      <c r="BYP5" s="9"/>
      <c r="BYQ5" s="9"/>
      <c r="BYR5" s="9"/>
      <c r="BYS5" s="9"/>
      <c r="BYT5" s="9"/>
      <c r="BYU5" s="9"/>
      <c r="BYV5" s="9"/>
      <c r="BYW5" s="9"/>
      <c r="BYX5" s="9"/>
      <c r="BYY5" s="9"/>
      <c r="BYZ5" s="9"/>
      <c r="BZA5" s="9"/>
      <c r="BZB5" s="9"/>
      <c r="BZC5" s="9"/>
      <c r="BZD5" s="9"/>
      <c r="BZE5" s="9"/>
      <c r="BZF5" s="9"/>
      <c r="BZG5" s="9"/>
      <c r="BZH5" s="9"/>
      <c r="BZI5" s="9"/>
      <c r="BZJ5" s="9"/>
      <c r="BZK5" s="9"/>
      <c r="BZL5" s="9"/>
      <c r="BZM5" s="9"/>
      <c r="BZN5" s="9"/>
      <c r="BZO5" s="9"/>
      <c r="BZP5" s="9"/>
      <c r="BZQ5" s="9"/>
      <c r="BZR5" s="9"/>
      <c r="BZS5" s="9"/>
      <c r="BZT5" s="9"/>
      <c r="BZU5" s="9"/>
      <c r="BZV5" s="9"/>
      <c r="BZW5" s="9"/>
      <c r="BZX5" s="9"/>
      <c r="BZY5" s="9"/>
      <c r="BZZ5" s="9"/>
      <c r="CAA5" s="9"/>
      <c r="CAB5" s="9"/>
      <c r="CAC5" s="9"/>
      <c r="CAD5" s="9"/>
      <c r="CAE5" s="9"/>
      <c r="CAF5" s="9"/>
      <c r="CAG5" s="9"/>
      <c r="CAH5" s="9"/>
      <c r="CAI5" s="9"/>
      <c r="CAJ5" s="9"/>
      <c r="CAK5" s="9"/>
      <c r="CAL5" s="9"/>
      <c r="CAM5" s="9"/>
      <c r="CAN5" s="9"/>
      <c r="CAO5" s="9"/>
      <c r="CAP5" s="9"/>
      <c r="CAQ5" s="9"/>
      <c r="CAR5" s="9"/>
      <c r="CAS5" s="9"/>
      <c r="CAT5" s="9"/>
      <c r="CAU5" s="9"/>
      <c r="CAV5" s="9"/>
      <c r="CAW5" s="9"/>
      <c r="CAX5" s="9"/>
      <c r="CAY5" s="9"/>
      <c r="CAZ5" s="9"/>
      <c r="CBA5" s="9"/>
      <c r="CBB5" s="9"/>
      <c r="CBC5" s="9"/>
      <c r="CBD5" s="9"/>
      <c r="CBE5" s="9"/>
      <c r="CBF5" s="9"/>
      <c r="CBG5" s="9"/>
      <c r="CBH5" s="9"/>
      <c r="CBI5" s="9"/>
      <c r="CBJ5" s="9"/>
      <c r="CBK5" s="9"/>
      <c r="CBL5" s="9"/>
      <c r="CBM5" s="9"/>
      <c r="CBN5" s="9"/>
      <c r="CBO5" s="9"/>
      <c r="CBP5" s="9"/>
      <c r="CBQ5" s="9"/>
      <c r="CBR5" s="9"/>
      <c r="CBS5" s="9"/>
      <c r="CBT5" s="9"/>
      <c r="CBU5" s="9"/>
      <c r="CBV5" s="9"/>
      <c r="CBW5" s="9"/>
      <c r="CBX5" s="9"/>
      <c r="CBY5" s="9"/>
      <c r="CBZ5" s="9"/>
      <c r="CCA5" s="9"/>
      <c r="CCB5" s="9"/>
      <c r="CCC5" s="9"/>
      <c r="CCD5" s="9"/>
      <c r="CCE5" s="9"/>
      <c r="CCF5" s="9"/>
      <c r="CCG5" s="9"/>
      <c r="CCH5" s="9"/>
      <c r="CCI5" s="9"/>
      <c r="CCJ5" s="9"/>
      <c r="CCK5" s="9"/>
      <c r="CCL5" s="9"/>
      <c r="CCM5" s="9"/>
      <c r="CCN5" s="9"/>
      <c r="CCO5" s="9"/>
      <c r="CCP5" s="9"/>
      <c r="CCQ5" s="9"/>
      <c r="CCR5" s="9"/>
      <c r="CCS5" s="9"/>
      <c r="CCT5" s="9"/>
      <c r="CCU5" s="9"/>
      <c r="CCV5" s="9"/>
      <c r="CCW5" s="9"/>
      <c r="CCX5" s="9"/>
      <c r="CCY5" s="9"/>
      <c r="CCZ5" s="9"/>
      <c r="CDA5" s="9"/>
      <c r="CDB5" s="9"/>
      <c r="CDC5" s="9"/>
      <c r="CDD5" s="9"/>
      <c r="CDE5" s="9"/>
      <c r="CDF5" s="9"/>
      <c r="CDG5" s="9"/>
      <c r="CDH5" s="9"/>
      <c r="CDI5" s="9"/>
      <c r="CDJ5" s="9"/>
      <c r="CDK5" s="9"/>
      <c r="CDL5" s="9"/>
      <c r="CDM5" s="9"/>
      <c r="CDN5" s="9"/>
      <c r="CDO5" s="9"/>
      <c r="CDP5" s="9"/>
      <c r="CDQ5" s="9"/>
      <c r="CDR5" s="9"/>
      <c r="CDS5" s="9"/>
      <c r="CDT5" s="9"/>
      <c r="CDU5" s="9"/>
      <c r="CDV5" s="9"/>
      <c r="CDW5" s="9"/>
      <c r="CDX5" s="9"/>
      <c r="CDY5" s="9"/>
      <c r="CDZ5" s="9"/>
      <c r="CEA5" s="9"/>
      <c r="CEB5" s="9"/>
      <c r="CEC5" s="9"/>
      <c r="CED5" s="9"/>
      <c r="CEE5" s="9"/>
      <c r="CEF5" s="9"/>
      <c r="CEG5" s="9"/>
      <c r="CEH5" s="9"/>
      <c r="CEI5" s="9"/>
      <c r="CEJ5" s="9"/>
      <c r="CEK5" s="9"/>
      <c r="CEL5" s="9"/>
      <c r="CEM5" s="9"/>
      <c r="CEN5" s="9"/>
      <c r="CEO5" s="9"/>
      <c r="CEP5" s="9"/>
      <c r="CEQ5" s="9"/>
      <c r="CER5" s="9"/>
      <c r="CES5" s="9"/>
      <c r="CET5" s="9"/>
      <c r="CEU5" s="9"/>
      <c r="CEV5" s="9"/>
      <c r="CEW5" s="9"/>
      <c r="CEX5" s="9"/>
      <c r="CEY5" s="9"/>
      <c r="CEZ5" s="9"/>
      <c r="CFA5" s="9"/>
      <c r="CFB5" s="9"/>
      <c r="CFC5" s="9"/>
      <c r="CFD5" s="9"/>
      <c r="CFE5" s="9"/>
      <c r="CFF5" s="9"/>
      <c r="CFG5" s="9"/>
      <c r="CFH5" s="9"/>
      <c r="CFI5" s="9"/>
      <c r="CFJ5" s="9"/>
      <c r="CFK5" s="9"/>
      <c r="CFL5" s="9"/>
      <c r="CFM5" s="9"/>
      <c r="CFN5" s="9"/>
      <c r="CFO5" s="9"/>
      <c r="CFP5" s="9"/>
      <c r="CFQ5" s="9"/>
      <c r="CFR5" s="9"/>
      <c r="CFS5" s="9"/>
      <c r="CFT5" s="9"/>
      <c r="CFU5" s="9"/>
      <c r="CFV5" s="9"/>
      <c r="CFW5" s="9"/>
      <c r="CFX5" s="9"/>
      <c r="CFY5" s="9"/>
      <c r="CFZ5" s="9"/>
      <c r="CGA5" s="9"/>
      <c r="CGB5" s="9"/>
      <c r="CGC5" s="9"/>
      <c r="CGD5" s="9"/>
      <c r="CGE5" s="9"/>
      <c r="CGF5" s="9"/>
      <c r="CGG5" s="9"/>
      <c r="CGH5" s="9"/>
      <c r="CGI5" s="9"/>
      <c r="CGJ5" s="9"/>
      <c r="CGK5" s="9"/>
      <c r="CGL5" s="9"/>
      <c r="CGM5" s="9"/>
      <c r="CGN5" s="9"/>
      <c r="CGO5" s="9"/>
      <c r="CGP5" s="9"/>
      <c r="CGQ5" s="9"/>
      <c r="CGR5" s="9"/>
      <c r="CGS5" s="9"/>
      <c r="CGT5" s="9"/>
      <c r="CGU5" s="9"/>
      <c r="CGV5" s="9"/>
      <c r="CGW5" s="9"/>
      <c r="CGX5" s="9"/>
      <c r="CGY5" s="9"/>
      <c r="CGZ5" s="9"/>
      <c r="CHA5" s="9"/>
      <c r="CHB5" s="9"/>
      <c r="CHC5" s="9"/>
      <c r="CHD5" s="9"/>
      <c r="CHE5" s="9"/>
      <c r="CHF5" s="9"/>
      <c r="CHG5" s="9"/>
      <c r="CHH5" s="9"/>
      <c r="CHI5" s="9"/>
      <c r="CHJ5" s="9"/>
      <c r="CHK5" s="9"/>
      <c r="CHL5" s="9"/>
      <c r="CHM5" s="9"/>
      <c r="CHN5" s="9"/>
      <c r="CHO5" s="9"/>
      <c r="CHP5" s="9"/>
      <c r="CHQ5" s="9"/>
      <c r="CHR5" s="9"/>
      <c r="CHS5" s="9"/>
      <c r="CHT5" s="9"/>
      <c r="CHU5" s="9"/>
      <c r="CHV5" s="9"/>
      <c r="CHW5" s="9"/>
      <c r="CHX5" s="9"/>
      <c r="CHY5" s="9"/>
      <c r="CHZ5" s="9"/>
      <c r="CIA5" s="9"/>
      <c r="CIB5" s="9"/>
      <c r="CIC5" s="9"/>
      <c r="CID5" s="9"/>
      <c r="CIE5" s="9"/>
      <c r="CIF5" s="9"/>
      <c r="CIG5" s="9"/>
      <c r="CIH5" s="9"/>
      <c r="CII5" s="9"/>
      <c r="CIJ5" s="9"/>
      <c r="CIK5" s="9"/>
      <c r="CIL5" s="9"/>
      <c r="CIM5" s="9"/>
      <c r="CIN5" s="9"/>
      <c r="CIO5" s="9"/>
      <c r="CIP5" s="9"/>
      <c r="CIQ5" s="9"/>
      <c r="CIR5" s="9"/>
      <c r="CIS5" s="9"/>
      <c r="CIT5" s="9"/>
      <c r="CIU5" s="9"/>
      <c r="CIV5" s="9"/>
      <c r="CIW5" s="9"/>
      <c r="CIX5" s="9"/>
      <c r="CIY5" s="9"/>
      <c r="CIZ5" s="9"/>
      <c r="CJA5" s="9"/>
      <c r="CJB5" s="9"/>
      <c r="CJC5" s="9"/>
      <c r="CJD5" s="9"/>
      <c r="CJE5" s="9"/>
      <c r="CJF5" s="9"/>
      <c r="CJG5" s="9"/>
      <c r="CJH5" s="9"/>
      <c r="CJI5" s="9"/>
      <c r="CJJ5" s="9"/>
      <c r="CJK5" s="9"/>
      <c r="CJL5" s="9"/>
      <c r="CJM5" s="9"/>
      <c r="CJN5" s="9"/>
      <c r="CJO5" s="9"/>
      <c r="CJP5" s="9"/>
      <c r="CJQ5" s="9"/>
      <c r="CJR5" s="9"/>
      <c r="CJS5" s="9"/>
      <c r="CJT5" s="9"/>
      <c r="CJU5" s="9"/>
      <c r="CJV5" s="9"/>
      <c r="CJW5" s="9"/>
      <c r="CJX5" s="9"/>
      <c r="CJY5" s="9"/>
      <c r="CJZ5" s="9"/>
      <c r="CKA5" s="9"/>
      <c r="CKB5" s="9"/>
      <c r="CKC5" s="9"/>
      <c r="CKD5" s="9"/>
      <c r="CKE5" s="9"/>
      <c r="CKF5" s="9"/>
      <c r="CKG5" s="9"/>
      <c r="CKH5" s="9"/>
      <c r="CKI5" s="9"/>
      <c r="CKJ5" s="9"/>
      <c r="CKK5" s="9"/>
    </row>
    <row r="6" spans="1:2325" s="4" customFormat="1" ht="18" customHeight="1" x14ac:dyDescent="0.3">
      <c r="D6" s="10" t="s">
        <v>33</v>
      </c>
      <c r="E6" s="10" t="s">
        <v>0</v>
      </c>
      <c r="F6" s="15">
        <v>45166</v>
      </c>
      <c r="G6" s="15" t="s">
        <v>41</v>
      </c>
      <c r="AJ6" s="22" t="s">
        <v>42</v>
      </c>
      <c r="AK6" s="9">
        <f>COUNTIF(tasksta[Type],AJ6)</f>
        <v>2</v>
      </c>
    </row>
    <row r="7" spans="1:2325" s="4" customFormat="1" ht="18" customHeight="1" x14ac:dyDescent="0.3">
      <c r="D7" s="10" t="s">
        <v>33</v>
      </c>
      <c r="E7" s="10" t="s">
        <v>1</v>
      </c>
      <c r="F7" s="15">
        <v>45167</v>
      </c>
      <c r="G7" s="15" t="s">
        <v>41</v>
      </c>
    </row>
    <row r="8" spans="1:2325" s="4" customFormat="1" ht="18" customHeight="1" x14ac:dyDescent="0.3">
      <c r="D8" s="10" t="s">
        <v>7</v>
      </c>
      <c r="E8" s="10" t="s">
        <v>0</v>
      </c>
      <c r="F8" s="15">
        <v>45022</v>
      </c>
      <c r="G8" s="10" t="s">
        <v>41</v>
      </c>
    </row>
    <row r="9" spans="1:2325" s="4" customFormat="1" ht="18" customHeight="1" x14ac:dyDescent="0.3">
      <c r="D9" s="10" t="s">
        <v>7</v>
      </c>
      <c r="E9" s="10" t="s">
        <v>0</v>
      </c>
      <c r="F9" s="15">
        <v>45025</v>
      </c>
      <c r="G9" s="10" t="s">
        <v>41</v>
      </c>
    </row>
    <row r="10" spans="1:2325" s="4" customFormat="1" ht="18" customHeight="1" x14ac:dyDescent="0.3">
      <c r="D10" s="10" t="s">
        <v>7</v>
      </c>
      <c r="E10" s="10" t="s">
        <v>0</v>
      </c>
      <c r="F10" s="15">
        <v>45022</v>
      </c>
      <c r="G10" s="10" t="s">
        <v>42</v>
      </c>
    </row>
    <row r="11" spans="1:2325" ht="21.6" x14ac:dyDescent="0.3">
      <c r="D11" s="10" t="s">
        <v>8</v>
      </c>
      <c r="E11" s="10" t="s">
        <v>0</v>
      </c>
      <c r="F11" s="15">
        <v>45180</v>
      </c>
      <c r="G11" s="12" t="s">
        <v>41</v>
      </c>
    </row>
    <row r="12" spans="1:2325" ht="21.6" x14ac:dyDescent="0.3">
      <c r="D12" s="10" t="s">
        <v>8</v>
      </c>
      <c r="E12" s="10" t="s">
        <v>0</v>
      </c>
      <c r="F12" s="15">
        <v>45175</v>
      </c>
      <c r="G12" s="12" t="s">
        <v>41</v>
      </c>
    </row>
    <row r="13" spans="1:2325" ht="21.6" x14ac:dyDescent="0.3">
      <c r="D13" s="10" t="s">
        <v>59</v>
      </c>
      <c r="E13" s="10" t="s">
        <v>58</v>
      </c>
      <c r="F13" s="15">
        <v>45174</v>
      </c>
      <c r="G13" s="12" t="s">
        <v>41</v>
      </c>
    </row>
    <row r="14" spans="1:2325" ht="21.6" x14ac:dyDescent="0.3">
      <c r="D14" s="10" t="s">
        <v>59</v>
      </c>
      <c r="E14" s="10" t="s">
        <v>58</v>
      </c>
      <c r="F14" s="15">
        <v>45183</v>
      </c>
      <c r="G14" s="12" t="s">
        <v>41</v>
      </c>
    </row>
    <row r="15" spans="1:2325" ht="21.6" x14ac:dyDescent="0.3">
      <c r="D15" s="10" t="s">
        <v>66</v>
      </c>
      <c r="E15" s="10" t="s">
        <v>0</v>
      </c>
      <c r="F15" s="15">
        <v>45171</v>
      </c>
      <c r="G15" s="12" t="s">
        <v>41</v>
      </c>
    </row>
    <row r="16" spans="1:2325" ht="21.6" x14ac:dyDescent="0.3">
      <c r="D16" s="10" t="s">
        <v>66</v>
      </c>
      <c r="E16" s="10" t="s">
        <v>0</v>
      </c>
      <c r="F16" s="15">
        <v>45540</v>
      </c>
      <c r="G16" s="12" t="s">
        <v>41</v>
      </c>
    </row>
    <row r="17" spans="4:7" ht="21.6" x14ac:dyDescent="0.3">
      <c r="D17" s="10" t="s">
        <v>8</v>
      </c>
      <c r="E17" s="10" t="s">
        <v>0</v>
      </c>
      <c r="F17" s="15">
        <v>44931</v>
      </c>
      <c r="G17" s="12" t="s">
        <v>41</v>
      </c>
    </row>
    <row r="18" spans="4:7" ht="21.6" x14ac:dyDescent="0.3">
      <c r="D18" s="10" t="s">
        <v>8</v>
      </c>
      <c r="E18" s="10" t="s">
        <v>0</v>
      </c>
      <c r="F18" s="15">
        <v>44938</v>
      </c>
      <c r="G18" s="12" t="s">
        <v>41</v>
      </c>
    </row>
    <row r="19" spans="4:7" ht="21.6" x14ac:dyDescent="0.3">
      <c r="D19" s="10" t="s">
        <v>8</v>
      </c>
      <c r="E19" s="10" t="s">
        <v>0</v>
      </c>
      <c r="F19" s="15">
        <v>44931</v>
      </c>
      <c r="G19" s="12" t="s">
        <v>42</v>
      </c>
    </row>
    <row r="20" spans="4:7" ht="21.6" x14ac:dyDescent="0.3">
      <c r="D20" s="10"/>
      <c r="E20" s="10"/>
      <c r="F20" s="15"/>
      <c r="G20" s="12"/>
    </row>
  </sheetData>
  <mergeCells count="1">
    <mergeCell ref="D3:G4"/>
  </mergeCells>
  <phoneticPr fontId="1" type="noConversion"/>
  <dataValidations count="2">
    <dataValidation type="list" operator="greaterThan" allowBlank="1" showInputMessage="1" showErrorMessage="1" sqref="G6:G7" xr:uid="{B3EFD922-BC17-4C35-B40A-CD53082136D8}">
      <formula1>"Plannifier,Fait"</formula1>
    </dataValidation>
    <dataValidation operator="greaterThan" allowBlank="1" showInputMessage="1" showErrorMessage="1" sqref="F6:F20" xr:uid="{23FE0D88-06AE-4CC4-BB46-53DB453B260C}"/>
  </dataValidations>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EF6FD-AC57-4A53-BD91-608D6E66DB59}">
  <sheetPr codeName="Sheet1"/>
  <dimension ref="A3:E7"/>
  <sheetViews>
    <sheetView workbookViewId="0">
      <selection activeCell="D27" sqref="D27"/>
    </sheetView>
  </sheetViews>
  <sheetFormatPr defaultRowHeight="14.4" x14ac:dyDescent="0.3"/>
  <sheetData>
    <row r="3" spans="1:5" ht="21.6" x14ac:dyDescent="0.3">
      <c r="A3" s="24" t="s">
        <v>9</v>
      </c>
      <c r="D3" s="24" t="s">
        <v>9</v>
      </c>
      <c r="E3">
        <f>COUNTIF(A$3:A$7,D3)</f>
        <v>4</v>
      </c>
    </row>
    <row r="4" spans="1:5" ht="21.6" x14ac:dyDescent="0.3">
      <c r="A4" s="25" t="s">
        <v>17</v>
      </c>
      <c r="D4" s="25" t="s">
        <v>17</v>
      </c>
      <c r="E4">
        <f>COUNTIF(A$3:A$7,D4)</f>
        <v>1</v>
      </c>
    </row>
    <row r="5" spans="1:5" ht="21.6" x14ac:dyDescent="0.3">
      <c r="A5" s="24" t="s">
        <v>9</v>
      </c>
    </row>
    <row r="6" spans="1:5" ht="21.6" x14ac:dyDescent="0.3">
      <c r="A6" s="25" t="s">
        <v>9</v>
      </c>
    </row>
    <row r="7" spans="1:5" ht="21.6" x14ac:dyDescent="0.3">
      <c r="A7" s="26" t="s">
        <v>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Maintenanciers_list</vt:lpstr>
      <vt:lpstr>Maintenancier</vt:lpstr>
      <vt:lpstr>Plan_list</vt:lpstr>
      <vt:lpstr>Plan</vt:lpstr>
      <vt:lpstr>Tasks List</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ibrahim essakine</dc:creator>
  <cp:lastModifiedBy>Hp_PC</cp:lastModifiedBy>
  <dcterms:created xsi:type="dcterms:W3CDTF">2015-06-05T18:19:34Z</dcterms:created>
  <dcterms:modified xsi:type="dcterms:W3CDTF">2023-09-30T01:16:53Z</dcterms:modified>
</cp:coreProperties>
</file>